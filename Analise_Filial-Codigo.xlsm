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.correa\Downloads\"/>
    </mc:Choice>
  </mc:AlternateContent>
  <xr:revisionPtr revIDLastSave="0" documentId="13_ncr:1_{C28C765A-C7AD-4769-8C04-0CFE1E49E784}" xr6:coauthVersionLast="47" xr6:coauthVersionMax="47" xr10:uidLastSave="{00000000-0000-0000-0000-000000000000}"/>
  <bookViews>
    <workbookView xWindow="-120" yWindow="-120" windowWidth="20730" windowHeight="11040" activeTab="1" xr2:uid="{B131095B-3EB6-4C04-B1FF-5C670759C4D9}"/>
  </bookViews>
  <sheets>
    <sheet name="Matriz" sheetId="5" r:id="rId1"/>
    <sheet name="Distancias" sheetId="7" r:id="rId2"/>
  </sheets>
  <functionGroups builtInGroupCount="19"/>
  <definedNames>
    <definedName name="_xlnm._FilterDatabase" localSheetId="1" hidden="1">Distancias!$B$4:$H$4</definedName>
    <definedName name="_xlnm._FilterDatabase" localSheetId="0" hidden="1">Matriz!$A$1:$BA$48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7" l="1"/>
  <c r="O5" i="7" s="1"/>
  <c r="C5" i="7"/>
  <c r="J5" i="7" l="1"/>
  <c r="E5" i="7"/>
  <c r="D5" i="7"/>
  <c r="F5" i="7"/>
  <c r="G5" i="7"/>
  <c r="L5" i="7"/>
  <c r="M5" i="7"/>
  <c r="N5" i="7"/>
  <c r="B5" i="7"/>
</calcChain>
</file>

<file path=xl/sharedStrings.xml><?xml version="1.0" encoding="utf-8"?>
<sst xmlns="http://schemas.openxmlformats.org/spreadsheetml/2006/main" count="351" uniqueCount="85">
  <si>
    <t>Cidade</t>
  </si>
  <si>
    <t>Endereço</t>
  </si>
  <si>
    <t>Campo Bom</t>
  </si>
  <si>
    <t>Novo Hamburgo</t>
  </si>
  <si>
    <t>Cachoeirinha</t>
  </si>
  <si>
    <t>Sapiranga</t>
  </si>
  <si>
    <t>Esteio</t>
  </si>
  <si>
    <t>Canoas</t>
  </si>
  <si>
    <t>Porto Alegre</t>
  </si>
  <si>
    <t>Latitude</t>
  </si>
  <si>
    <t>Longitude</t>
  </si>
  <si>
    <t>n_Filial</t>
  </si>
  <si>
    <t>Região</t>
  </si>
  <si>
    <t>SUL</t>
  </si>
  <si>
    <t>METROPOLITANA</t>
  </si>
  <si>
    <t>CENTRO-NORTE</t>
  </si>
  <si>
    <t>SERRA</t>
  </si>
  <si>
    <t>LITORAL</t>
  </si>
  <si>
    <t>Qual filial deseja analisar?</t>
  </si>
  <si>
    <t>&gt;&gt;&gt;&gt;&gt;</t>
  </si>
  <si>
    <t>Distância máxima da filial analisada (km)?</t>
  </si>
  <si>
    <t>Av. Bento Gonçalves, 1100</t>
  </si>
  <si>
    <t>Rua Tiradentes, 450</t>
  </si>
  <si>
    <t>Av. Pedro Adams Filho, 2800</t>
  </si>
  <si>
    <t>Rua José Bonifácio, 300</t>
  </si>
  <si>
    <t>São Leopoldo</t>
  </si>
  <si>
    <t>Av. Dorival C. L. de Oliveira, 1500</t>
  </si>
  <si>
    <t>Gravataí</t>
  </si>
  <si>
    <t>Rua João Rodrigues, 210</t>
  </si>
  <si>
    <t>Guaíba</t>
  </si>
  <si>
    <t>Av. Assis Brasil, 3500</t>
  </si>
  <si>
    <t>Rua Major Bento Alves, 88</t>
  </si>
  <si>
    <t>Rua 15 de Janeiro, 120</t>
  </si>
  <si>
    <t>Av. Getúlio Vargas, 2200</t>
  </si>
  <si>
    <t>Rua Independência, 900</t>
  </si>
  <si>
    <t>Av. Victor Barreto, 1800</t>
  </si>
  <si>
    <t>Rua Tuiuti, 55</t>
  </si>
  <si>
    <t>Av. Sapucaia, 1400</t>
  </si>
  <si>
    <t>Sapucaia do Sul</t>
  </si>
  <si>
    <t>Rua Presidente Vargas, 410</t>
  </si>
  <si>
    <t>Av. Ipiranga, 6681</t>
  </si>
  <si>
    <t>Rua dos Andradas, 1200</t>
  </si>
  <si>
    <t>Av. Cristóvão Colombo, 545</t>
  </si>
  <si>
    <t>Rua 24 de Outubro, 300</t>
  </si>
  <si>
    <t>Av. Nilo Peçanha, 1500</t>
  </si>
  <si>
    <t>Rua General Flores da Cunha, 120</t>
  </si>
  <si>
    <t>Av. Papa João XXIII, 450</t>
  </si>
  <si>
    <t>Rua Anápio Gomes, 330</t>
  </si>
  <si>
    <t>Av. Centenário, 110</t>
  </si>
  <si>
    <t>Rua Adriano Dias, 15</t>
  </si>
  <si>
    <t>Av. Brasil, 2500</t>
  </si>
  <si>
    <t>Rua Antão de Farias, 80</t>
  </si>
  <si>
    <t>Av. 20 de Setembro, 1500</t>
  </si>
  <si>
    <t>Rua São Joaquim, 400</t>
  </si>
  <si>
    <t>Av. Imperatriz Leopoldina, 120</t>
  </si>
  <si>
    <t>Rua Bento Gonçalves, 150</t>
  </si>
  <si>
    <t>Av. Nações Unidas, 2000</t>
  </si>
  <si>
    <t>Rua Maurício Cardoso, 330</t>
  </si>
  <si>
    <t>Av. Mauá, 1500</t>
  </si>
  <si>
    <t>Rua Cel. Frederico Linck, 80</t>
  </si>
  <si>
    <t>Av. Boqueirão, 1200</t>
  </si>
  <si>
    <t>Rua Guilherme Schell, 5000</t>
  </si>
  <si>
    <t>Av. Farroupilha, 8001</t>
  </si>
  <si>
    <t>Rua Santa Isabel, 200</t>
  </si>
  <si>
    <t>Viamão</t>
  </si>
  <si>
    <t>Av. Senador Salgado Filho, 1500</t>
  </si>
  <si>
    <t>Rua Liberdade, 110</t>
  </si>
  <si>
    <t>Av. Protásio Alves, 4500</t>
  </si>
  <si>
    <t>Rua Dr. Montaury, 150</t>
  </si>
  <si>
    <t>Av. General Neto, 220</t>
  </si>
  <si>
    <t>Rua Sete de Setembro, 1100</t>
  </si>
  <si>
    <t>Av. Oscar Pereira, 2500</t>
  </si>
  <si>
    <t>Rua Domingos de Almeida, 120</t>
  </si>
  <si>
    <t>Av. Luíza Frederica, 30</t>
  </si>
  <si>
    <t>Rua Garibaldi, 550</t>
  </si>
  <si>
    <t>Av. João Corrêa, 1100</t>
  </si>
  <si>
    <t>Area_Logistica</t>
  </si>
  <si>
    <t>ID_Ponto</t>
  </si>
  <si>
    <t>Municipio</t>
  </si>
  <si>
    <t>Localizacao</t>
  </si>
  <si>
    <t>Coord_Lat</t>
  </si>
  <si>
    <t>Coord_Long</t>
  </si>
  <si>
    <t>Dist_Calculada_KM</t>
  </si>
  <si>
    <t>Setor</t>
  </si>
  <si>
    <t>Distancia_KM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</si>
</sst>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" fontId="0" fillId="0" borderId="0" xfId="0" applyNumberFormat="1"/>
    <xf numFmtId="0" fontId="0" fillId="4" borderId="0" xfId="0" applyFill="1"/>
    <xf numFmtId="0" fontId="5" fillId="2" borderId="2" xfId="0" applyFont="1" applyFill="1" applyBorder="1" applyAlignment="1">
      <alignment horizontal="center"/>
    </xf>
    <xf numFmtId="0" fontId="1" fillId="4" borderId="0" xfId="0" applyFont="1" applyFill="1"/>
    <xf numFmtId="0" fontId="4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0" fontId="1" fillId="6" borderId="0" xfId="0" applyFont="1" applyFill="1" applyAlignment="1">
      <alignment horizontal="center" vertical="center"/>
    </xf>
    <xf numFmtId="0" fontId="3" fillId="0" borderId="0" xfId="0" applyFont="1"/>
    <xf numFmtId="0" fontId="5" fillId="0" borderId="0" xfId="0" applyFont="1" applyAlignment="1">
      <alignment horizontal="center"/>
    </xf>
    <xf numFmtId="0" fontId="1" fillId="0" borderId="0" xfId="0" applyFont="1"/>
    <xf numFmtId="0" fontId="6" fillId="4" borderId="0" xfId="0" applyFont="1" applyFill="1"/>
    <xf numFmtId="0" fontId="0" fillId="0" borderId="0" xfId="0" applyFill="1" applyAlignment="1">
      <alignment horizontal="center"/>
    </xf>
    <xf numFmtId="4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666749</xdr:colOff>
      <xdr:row>1</xdr:row>
      <xdr:rowOff>1</xdr:rowOff>
    </xdr:from>
    <xdr:to>
      <xdr:col>8</xdr:col>
      <xdr:colOff>9524</xdr:colOff>
      <xdr:row>2</xdr:row>
      <xdr:rowOff>19051</xdr:rowOff>
    </xdr:to>
    <xdr:sp macro="[0]!AnaliseSomenteFilial.OrdenarRegistrosPorProximidade" textlink="">
      <xdr:nvSpPr>
        <xdr:cNvPr id="2" name="Retângulo 1">
          <a:extLst>
            <a:ext uri="{FF2B5EF4-FFF2-40B4-BE49-F238E27FC236}">
              <a16:creationId xmlns:a16="http://schemas.microsoft.com/office/drawing/2014/main" id="{C151F656-6F64-17F7-8538-1F560E57AD93}"/>
            </a:ext>
          </a:extLst>
        </xdr:cNvPr>
        <xdr:cNvSpPr/>
      </xdr:nvSpPr>
      <xdr:spPr>
        <a:xfrm>
          <a:off x="4505324" y="104776"/>
          <a:ext cx="1666875" cy="3238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 Tabela Ordenada</a:t>
          </a:r>
        </a:p>
      </xdr:txBody>
    </xdr:sp>
    <xdr:clientData/>
  </xdr:twoCellAnchor>
  <xdr:twoCellAnchor>
    <xdr:from>
      <xdr:col>14</xdr:col>
      <xdr:colOff>47625</xdr:colOff>
      <xdr:row>0</xdr:row>
      <xdr:rowOff>95250</xdr:rowOff>
    </xdr:from>
    <xdr:to>
      <xdr:col>15</xdr:col>
      <xdr:colOff>895350</xdr:colOff>
      <xdr:row>1</xdr:row>
      <xdr:rowOff>295275</xdr:rowOff>
    </xdr:to>
    <xdr:sp macro="[0]!FiltrarPorRaioProximidade" textlink="">
      <xdr:nvSpPr>
        <xdr:cNvPr id="3" name="Retângulo 2">
          <a:extLst>
            <a:ext uri="{FF2B5EF4-FFF2-40B4-BE49-F238E27FC236}">
              <a16:creationId xmlns:a16="http://schemas.microsoft.com/office/drawing/2014/main" id="{064D284F-1C3A-45A4-B762-41021B19667F}"/>
            </a:ext>
          </a:extLst>
        </xdr:cNvPr>
        <xdr:cNvSpPr/>
      </xdr:nvSpPr>
      <xdr:spPr>
        <a:xfrm>
          <a:off x="10820400" y="95250"/>
          <a:ext cx="1581150" cy="3048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 Tabela Filtrada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4880-6304-49A2-AFBB-4981C2BDECDD}">
  <sheetPr codeName="Planilha5"/>
  <dimension ref="A1:BA51"/>
  <sheetViews>
    <sheetView showGridLines="0" workbookViewId="0">
      <selection activeCell="F12" sqref="F12"/>
    </sheetView>
  </sheetViews>
  <sheetFormatPr defaultRowHeight="15" x14ac:dyDescent="0.25"/>
  <cols>
    <col min="1" max="1" width="16.42578125" style="2" bestFit="1" customWidth="1"/>
    <col min="2" max="2" width="9.140625" style="2"/>
    <col min="3" max="3" width="15.42578125" style="2" bestFit="1" customWidth="1"/>
    <col min="4" max="4" width="31.140625" style="2" customWidth="1"/>
    <col min="5" max="5" width="12.42578125" style="2" customWidth="1"/>
    <col min="6" max="6" width="12.7109375" style="2" customWidth="1"/>
    <col min="7" max="15" width="6.5703125" bestFit="1" customWidth="1"/>
    <col min="16" max="53" width="7.5703125" bestFit="1" customWidth="1"/>
  </cols>
  <sheetData>
    <row r="1" spans="1:53" x14ac:dyDescent="0.25">
      <c r="A1" s="1" t="s">
        <v>12</v>
      </c>
      <c r="B1" s="1" t="s">
        <v>11</v>
      </c>
      <c r="C1" s="1" t="s">
        <v>0</v>
      </c>
      <c r="D1" s="1" t="s">
        <v>1</v>
      </c>
      <c r="E1" s="3" t="s">
        <v>9</v>
      </c>
      <c r="F1" s="3" t="s">
        <v>10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12</v>
      </c>
      <c r="R1" s="4">
        <v>13</v>
      </c>
      <c r="S1" s="4">
        <v>14</v>
      </c>
      <c r="T1" s="4">
        <v>15</v>
      </c>
      <c r="U1" s="4">
        <v>16</v>
      </c>
      <c r="V1" s="4">
        <v>17</v>
      </c>
      <c r="W1" s="4">
        <v>18</v>
      </c>
      <c r="X1" s="4">
        <v>19</v>
      </c>
      <c r="Y1" s="4">
        <v>20</v>
      </c>
      <c r="Z1" s="4">
        <v>21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29</v>
      </c>
      <c r="AG1" s="4">
        <v>30</v>
      </c>
      <c r="AH1" s="4">
        <v>31</v>
      </c>
      <c r="AI1" s="4">
        <v>32</v>
      </c>
      <c r="AJ1" s="4">
        <v>33</v>
      </c>
      <c r="AK1" s="4">
        <v>34</v>
      </c>
      <c r="AL1" s="4">
        <v>35</v>
      </c>
      <c r="AM1" s="4">
        <v>36</v>
      </c>
      <c r="AN1" s="4">
        <v>37</v>
      </c>
      <c r="AO1" s="4">
        <v>38</v>
      </c>
      <c r="AP1" s="4">
        <v>39</v>
      </c>
      <c r="AQ1" s="4">
        <v>40</v>
      </c>
      <c r="AR1" s="4">
        <v>41</v>
      </c>
      <c r="AS1" s="4">
        <v>42</v>
      </c>
      <c r="AT1" s="4">
        <v>43</v>
      </c>
      <c r="AU1" s="4">
        <v>44</v>
      </c>
      <c r="AV1" s="4">
        <v>45</v>
      </c>
      <c r="AW1" s="4">
        <v>46</v>
      </c>
      <c r="AX1" s="4">
        <v>47</v>
      </c>
      <c r="AY1" s="4">
        <v>48</v>
      </c>
      <c r="AZ1" s="4">
        <v>49</v>
      </c>
      <c r="BA1" s="4">
        <v>50</v>
      </c>
    </row>
    <row r="2" spans="1:53" x14ac:dyDescent="0.25">
      <c r="A2" s="2" t="s">
        <v>17</v>
      </c>
      <c r="B2" s="2">
        <v>1</v>
      </c>
      <c r="C2" s="17" t="s">
        <v>8</v>
      </c>
      <c r="D2" s="17" t="s">
        <v>21</v>
      </c>
      <c r="E2" s="17">
        <v>-30.059200000000001</v>
      </c>
      <c r="F2" s="17">
        <v>-51.1905</v>
      </c>
      <c r="G2" s="18">
        <v>0</v>
      </c>
      <c r="H2" s="5">
        <v>15.58</v>
      </c>
      <c r="I2">
        <v>42.07</v>
      </c>
      <c r="J2">
        <v>33.42</v>
      </c>
      <c r="K2">
        <v>22.51</v>
      </c>
      <c r="L2">
        <v>14.23</v>
      </c>
      <c r="M2">
        <v>6.18</v>
      </c>
      <c r="N2">
        <v>49.9</v>
      </c>
      <c r="O2">
        <v>15.46</v>
      </c>
      <c r="P2">
        <v>13.98</v>
      </c>
      <c r="Q2">
        <v>33.520000000000003</v>
      </c>
      <c r="R2">
        <v>15.19</v>
      </c>
      <c r="S2">
        <v>22.72</v>
      </c>
      <c r="T2">
        <v>25.59</v>
      </c>
      <c r="U2">
        <v>23.07</v>
      </c>
      <c r="V2">
        <v>1.64</v>
      </c>
      <c r="W2">
        <v>4.8499999999999996</v>
      </c>
      <c r="X2">
        <v>4.5199999999999996</v>
      </c>
      <c r="Y2">
        <v>4</v>
      </c>
      <c r="Z2">
        <v>4.34</v>
      </c>
      <c r="AA2">
        <v>15.29</v>
      </c>
      <c r="AB2">
        <v>15.41</v>
      </c>
      <c r="AC2">
        <v>22.9</v>
      </c>
      <c r="AD2">
        <v>24.03</v>
      </c>
      <c r="AE2">
        <v>44.16</v>
      </c>
      <c r="AF2">
        <v>44.67</v>
      </c>
      <c r="AG2">
        <v>50.14</v>
      </c>
      <c r="AH2">
        <v>49.54</v>
      </c>
      <c r="AI2">
        <v>33.049999999999997</v>
      </c>
      <c r="AJ2">
        <v>35.01</v>
      </c>
      <c r="AK2">
        <v>41.93</v>
      </c>
      <c r="AL2">
        <v>40.99</v>
      </c>
      <c r="AM2">
        <v>43.01</v>
      </c>
      <c r="AN2">
        <v>36.270000000000003</v>
      </c>
      <c r="AO2">
        <v>42.32</v>
      </c>
      <c r="AP2">
        <v>17.32</v>
      </c>
      <c r="AQ2">
        <v>12.71</v>
      </c>
      <c r="AR2">
        <v>17.809999999999999</v>
      </c>
      <c r="AS2">
        <v>9.36</v>
      </c>
      <c r="AT2">
        <v>16.13</v>
      </c>
      <c r="AU2">
        <v>16.91</v>
      </c>
      <c r="AV2">
        <v>3.62</v>
      </c>
      <c r="AW2">
        <v>15.34</v>
      </c>
      <c r="AX2">
        <v>14.01</v>
      </c>
      <c r="AY2">
        <v>5.22</v>
      </c>
      <c r="AZ2">
        <v>1.81</v>
      </c>
      <c r="BA2">
        <v>41.75</v>
      </c>
    </row>
    <row r="3" spans="1:53" x14ac:dyDescent="0.25">
      <c r="A3" s="2" t="s">
        <v>14</v>
      </c>
      <c r="B3" s="2">
        <v>2</v>
      </c>
      <c r="C3" s="17" t="s">
        <v>7</v>
      </c>
      <c r="D3" s="17" t="s">
        <v>22</v>
      </c>
      <c r="E3" s="17">
        <v>-29.9192</v>
      </c>
      <c r="F3" s="17">
        <v>-51.183399999999999</v>
      </c>
      <c r="G3" s="19">
        <v>15.58</v>
      </c>
      <c r="H3">
        <v>0</v>
      </c>
      <c r="I3">
        <v>26.6</v>
      </c>
      <c r="J3">
        <v>17.940000000000001</v>
      </c>
      <c r="K3">
        <v>17.59</v>
      </c>
      <c r="L3">
        <v>25.39</v>
      </c>
      <c r="M3">
        <v>10.36</v>
      </c>
      <c r="N3">
        <v>35.39</v>
      </c>
      <c r="O3">
        <v>0.4</v>
      </c>
      <c r="P3">
        <v>2.2999999999999998</v>
      </c>
      <c r="Q3">
        <v>18.03</v>
      </c>
      <c r="R3">
        <v>0.67</v>
      </c>
      <c r="S3">
        <v>7.14</v>
      </c>
      <c r="T3">
        <v>10.28</v>
      </c>
      <c r="U3">
        <v>7.48</v>
      </c>
      <c r="V3">
        <v>14.96</v>
      </c>
      <c r="W3">
        <v>13.12</v>
      </c>
      <c r="X3">
        <v>12.02</v>
      </c>
      <c r="Y3">
        <v>12</v>
      </c>
      <c r="Z3">
        <v>12.12</v>
      </c>
      <c r="AA3">
        <v>8.35</v>
      </c>
      <c r="AB3">
        <v>9.1</v>
      </c>
      <c r="AC3">
        <v>18.329999999999998</v>
      </c>
      <c r="AD3">
        <v>19.55</v>
      </c>
      <c r="AE3">
        <v>29.27</v>
      </c>
      <c r="AF3">
        <v>29.85</v>
      </c>
      <c r="AG3">
        <v>35.65</v>
      </c>
      <c r="AH3">
        <v>34.99</v>
      </c>
      <c r="AI3">
        <v>17.61</v>
      </c>
      <c r="AJ3">
        <v>19.600000000000001</v>
      </c>
      <c r="AK3">
        <v>26.48</v>
      </c>
      <c r="AL3">
        <v>25.56</v>
      </c>
      <c r="AM3">
        <v>27.62</v>
      </c>
      <c r="AN3">
        <v>20.75</v>
      </c>
      <c r="AO3">
        <v>26.84</v>
      </c>
      <c r="AP3">
        <v>2.37</v>
      </c>
      <c r="AQ3">
        <v>2.87</v>
      </c>
      <c r="AR3">
        <v>3.34</v>
      </c>
      <c r="AS3">
        <v>19.3</v>
      </c>
      <c r="AT3">
        <v>23.67</v>
      </c>
      <c r="AU3">
        <v>1.66</v>
      </c>
      <c r="AV3">
        <v>13.37</v>
      </c>
      <c r="AW3">
        <v>0.34</v>
      </c>
      <c r="AX3">
        <v>25.49</v>
      </c>
      <c r="AY3">
        <v>13.01</v>
      </c>
      <c r="AZ3">
        <v>17.36</v>
      </c>
      <c r="BA3">
        <v>26.28</v>
      </c>
    </row>
    <row r="4" spans="1:53" x14ac:dyDescent="0.25">
      <c r="A4" s="2" t="s">
        <v>13</v>
      </c>
      <c r="B4" s="2">
        <v>3</v>
      </c>
      <c r="C4" s="17" t="s">
        <v>3</v>
      </c>
      <c r="D4" s="17" t="s">
        <v>23</v>
      </c>
      <c r="E4" s="17">
        <v>-29.6845</v>
      </c>
      <c r="F4" s="17">
        <v>-51.130200000000002</v>
      </c>
      <c r="G4" s="19">
        <v>42.07</v>
      </c>
      <c r="H4">
        <v>26.6</v>
      </c>
      <c r="I4">
        <v>0</v>
      </c>
      <c r="J4">
        <v>8.66</v>
      </c>
      <c r="K4">
        <v>30.89</v>
      </c>
      <c r="L4">
        <v>51.08</v>
      </c>
      <c r="M4">
        <v>36.33</v>
      </c>
      <c r="N4">
        <v>12.6</v>
      </c>
      <c r="O4">
        <v>26.67</v>
      </c>
      <c r="P4">
        <v>28.09</v>
      </c>
      <c r="Q4">
        <v>8.57</v>
      </c>
      <c r="R4">
        <v>26.92</v>
      </c>
      <c r="S4">
        <v>19.61</v>
      </c>
      <c r="T4">
        <v>16.489999999999998</v>
      </c>
      <c r="U4">
        <v>19.21</v>
      </c>
      <c r="V4">
        <v>41.26</v>
      </c>
      <c r="W4">
        <v>39.619999999999997</v>
      </c>
      <c r="X4">
        <v>38.61</v>
      </c>
      <c r="Y4">
        <v>38.6</v>
      </c>
      <c r="Z4">
        <v>38.229999999999997</v>
      </c>
      <c r="AA4">
        <v>29.09</v>
      </c>
      <c r="AB4">
        <v>29.5</v>
      </c>
      <c r="AC4">
        <v>31.46</v>
      </c>
      <c r="AD4">
        <v>31.86</v>
      </c>
      <c r="AE4">
        <v>6.63</v>
      </c>
      <c r="AF4">
        <v>7.34</v>
      </c>
      <c r="AG4">
        <v>12.94</v>
      </c>
      <c r="AH4">
        <v>12.16</v>
      </c>
      <c r="AI4">
        <v>9.02</v>
      </c>
      <c r="AJ4">
        <v>7.08</v>
      </c>
      <c r="AK4">
        <v>0.27</v>
      </c>
      <c r="AL4">
        <v>1.27</v>
      </c>
      <c r="AM4">
        <v>1.64</v>
      </c>
      <c r="AN4">
        <v>5.9</v>
      </c>
      <c r="AO4">
        <v>0.33</v>
      </c>
      <c r="AP4">
        <v>24.75</v>
      </c>
      <c r="AQ4">
        <v>29.44</v>
      </c>
      <c r="AR4">
        <v>24.3</v>
      </c>
      <c r="AS4">
        <v>43.55</v>
      </c>
      <c r="AT4">
        <v>45.35</v>
      </c>
      <c r="AU4">
        <v>25.18</v>
      </c>
      <c r="AV4">
        <v>39.43</v>
      </c>
      <c r="AW4">
        <v>26.81</v>
      </c>
      <c r="AX4">
        <v>51.28</v>
      </c>
      <c r="AY4">
        <v>39.479999999999997</v>
      </c>
      <c r="AZ4">
        <v>43.87</v>
      </c>
      <c r="BA4">
        <v>0.34</v>
      </c>
    </row>
    <row r="5" spans="1:53" x14ac:dyDescent="0.25">
      <c r="A5" s="2" t="s">
        <v>17</v>
      </c>
      <c r="B5" s="2">
        <v>4</v>
      </c>
      <c r="C5" s="17" t="s">
        <v>25</v>
      </c>
      <c r="D5" s="17" t="s">
        <v>24</v>
      </c>
      <c r="E5" s="17">
        <v>-29.761199999999999</v>
      </c>
      <c r="F5" s="17">
        <v>-51.145800000000001</v>
      </c>
      <c r="G5" s="19">
        <v>33.42</v>
      </c>
      <c r="H5">
        <v>17.940000000000001</v>
      </c>
      <c r="I5">
        <v>8.66</v>
      </c>
      <c r="J5">
        <v>0</v>
      </c>
      <c r="K5">
        <v>24.15</v>
      </c>
      <c r="L5">
        <v>42.63</v>
      </c>
      <c r="M5">
        <v>27.72</v>
      </c>
      <c r="N5">
        <v>18.87</v>
      </c>
      <c r="O5">
        <v>18.010000000000002</v>
      </c>
      <c r="P5">
        <v>19.440000000000001</v>
      </c>
      <c r="Q5">
        <v>0.2</v>
      </c>
      <c r="R5">
        <v>18.260000000000002</v>
      </c>
      <c r="S5">
        <v>11</v>
      </c>
      <c r="T5">
        <v>7.88</v>
      </c>
      <c r="U5">
        <v>10.59</v>
      </c>
      <c r="V5">
        <v>32.619999999999997</v>
      </c>
      <c r="W5">
        <v>30.99</v>
      </c>
      <c r="X5">
        <v>29.95</v>
      </c>
      <c r="Y5">
        <v>29.94</v>
      </c>
      <c r="Z5">
        <v>29.61</v>
      </c>
      <c r="AA5">
        <v>20.87</v>
      </c>
      <c r="AB5">
        <v>21.34</v>
      </c>
      <c r="AC5">
        <v>24.81</v>
      </c>
      <c r="AD5">
        <v>25.44</v>
      </c>
      <c r="AE5">
        <v>12.29</v>
      </c>
      <c r="AF5">
        <v>12.99</v>
      </c>
      <c r="AG5">
        <v>19.18</v>
      </c>
      <c r="AH5">
        <v>18.43</v>
      </c>
      <c r="AI5">
        <v>0.56000000000000005</v>
      </c>
      <c r="AJ5">
        <v>1.8</v>
      </c>
      <c r="AK5">
        <v>8.5399999999999991</v>
      </c>
      <c r="AL5">
        <v>7.63</v>
      </c>
      <c r="AM5">
        <v>9.7200000000000006</v>
      </c>
      <c r="AN5">
        <v>2.93</v>
      </c>
      <c r="AO5">
        <v>8.91</v>
      </c>
      <c r="AP5">
        <v>16.100000000000001</v>
      </c>
      <c r="AQ5">
        <v>20.78</v>
      </c>
      <c r="AR5">
        <v>15.68</v>
      </c>
      <c r="AS5">
        <v>35.229999999999997</v>
      </c>
      <c r="AT5">
        <v>37.520000000000003</v>
      </c>
      <c r="AU5">
        <v>16.52</v>
      </c>
      <c r="AV5">
        <v>30.82</v>
      </c>
      <c r="AW5">
        <v>18.149999999999999</v>
      </c>
      <c r="AX5">
        <v>42.81</v>
      </c>
      <c r="AY5">
        <v>30.85</v>
      </c>
      <c r="AZ5">
        <v>35.21</v>
      </c>
      <c r="BA5">
        <v>8.34</v>
      </c>
    </row>
    <row r="6" spans="1:53" x14ac:dyDescent="0.25">
      <c r="A6" s="2" t="s">
        <v>13</v>
      </c>
      <c r="B6" s="2">
        <v>5</v>
      </c>
      <c r="C6" s="17" t="s">
        <v>27</v>
      </c>
      <c r="D6" s="17" t="s">
        <v>26</v>
      </c>
      <c r="E6" s="17">
        <v>-29.9392</v>
      </c>
      <c r="F6" s="17">
        <v>-51.002299999999998</v>
      </c>
      <c r="G6" s="19">
        <v>22.51</v>
      </c>
      <c r="H6">
        <v>17.59</v>
      </c>
      <c r="I6">
        <v>30.89</v>
      </c>
      <c r="J6">
        <v>24.15</v>
      </c>
      <c r="K6">
        <v>0</v>
      </c>
      <c r="L6">
        <v>36.54</v>
      </c>
      <c r="M6">
        <v>17.13</v>
      </c>
      <c r="N6">
        <v>33.479999999999997</v>
      </c>
      <c r="O6">
        <v>17.2</v>
      </c>
      <c r="P6">
        <v>15.97</v>
      </c>
      <c r="Q6">
        <v>24.35</v>
      </c>
      <c r="R6">
        <v>17.03</v>
      </c>
      <c r="S6">
        <v>19.690000000000001</v>
      </c>
      <c r="T6">
        <v>18.420000000000002</v>
      </c>
      <c r="U6">
        <v>19.600000000000001</v>
      </c>
      <c r="V6">
        <v>20.92</v>
      </c>
      <c r="W6">
        <v>24.04</v>
      </c>
      <c r="X6">
        <v>22.46</v>
      </c>
      <c r="Y6">
        <v>21.75</v>
      </c>
      <c r="Z6">
        <v>18.46</v>
      </c>
      <c r="AA6">
        <v>9.6300000000000008</v>
      </c>
      <c r="AB6">
        <v>8.99</v>
      </c>
      <c r="AC6">
        <v>0.77</v>
      </c>
      <c r="AD6">
        <v>1.96</v>
      </c>
      <c r="AE6">
        <v>29.61</v>
      </c>
      <c r="AF6">
        <v>29.81</v>
      </c>
      <c r="AG6">
        <v>33.61</v>
      </c>
      <c r="AH6">
        <v>33.24</v>
      </c>
      <c r="AI6">
        <v>23.59</v>
      </c>
      <c r="AJ6">
        <v>24.82</v>
      </c>
      <c r="AK6">
        <v>30.66</v>
      </c>
      <c r="AL6">
        <v>29.62</v>
      </c>
      <c r="AM6">
        <v>31.01</v>
      </c>
      <c r="AN6">
        <v>26.75</v>
      </c>
      <c r="AO6">
        <v>31.22</v>
      </c>
      <c r="AP6">
        <v>16.13</v>
      </c>
      <c r="AQ6">
        <v>17.62</v>
      </c>
      <c r="AR6">
        <v>15.29</v>
      </c>
      <c r="AS6">
        <v>17.54</v>
      </c>
      <c r="AT6">
        <v>16.03</v>
      </c>
      <c r="AU6">
        <v>16.72</v>
      </c>
      <c r="AV6">
        <v>18.899999999999999</v>
      </c>
      <c r="AW6">
        <v>17.329999999999998</v>
      </c>
      <c r="AX6">
        <v>36.380000000000003</v>
      </c>
      <c r="AY6">
        <v>24.21</v>
      </c>
      <c r="AZ6">
        <v>23.92</v>
      </c>
      <c r="BA6">
        <v>30.56</v>
      </c>
    </row>
    <row r="7" spans="1:53" x14ac:dyDescent="0.25">
      <c r="A7" s="2" t="s">
        <v>15</v>
      </c>
      <c r="B7" s="2">
        <v>6</v>
      </c>
      <c r="C7" s="17" t="s">
        <v>29</v>
      </c>
      <c r="D7" s="17" t="s">
        <v>28</v>
      </c>
      <c r="E7" s="17">
        <v>-30.111499999999999</v>
      </c>
      <c r="F7" s="17">
        <v>-51.325499999999998</v>
      </c>
      <c r="G7" s="19">
        <v>14.23</v>
      </c>
      <c r="H7">
        <v>25.39</v>
      </c>
      <c r="I7">
        <v>51.08</v>
      </c>
      <c r="J7">
        <v>42.63</v>
      </c>
      <c r="K7">
        <v>36.54</v>
      </c>
      <c r="L7">
        <v>0</v>
      </c>
      <c r="M7">
        <v>19.5</v>
      </c>
      <c r="N7">
        <v>60.73</v>
      </c>
      <c r="O7">
        <v>25.47</v>
      </c>
      <c r="P7">
        <v>24.8</v>
      </c>
      <c r="Q7">
        <v>42.67</v>
      </c>
      <c r="R7">
        <v>25.32</v>
      </c>
      <c r="S7">
        <v>31.69</v>
      </c>
      <c r="T7">
        <v>35.47</v>
      </c>
      <c r="U7">
        <v>32.119999999999997</v>
      </c>
      <c r="V7">
        <v>15.87</v>
      </c>
      <c r="W7">
        <v>12.97</v>
      </c>
      <c r="X7">
        <v>14.48</v>
      </c>
      <c r="Y7">
        <v>15.03</v>
      </c>
      <c r="Z7">
        <v>18.079999999999998</v>
      </c>
      <c r="AA7">
        <v>28.39</v>
      </c>
      <c r="AB7">
        <v>28.69</v>
      </c>
      <c r="AC7">
        <v>36.979999999999997</v>
      </c>
      <c r="AD7">
        <v>38.15</v>
      </c>
      <c r="AE7">
        <v>54.49</v>
      </c>
      <c r="AF7">
        <v>55.1</v>
      </c>
      <c r="AG7">
        <v>61</v>
      </c>
      <c r="AH7">
        <v>60.33</v>
      </c>
      <c r="AI7">
        <v>42.39</v>
      </c>
      <c r="AJ7">
        <v>44.39</v>
      </c>
      <c r="AK7">
        <v>51</v>
      </c>
      <c r="AL7">
        <v>50.18</v>
      </c>
      <c r="AM7">
        <v>52.3</v>
      </c>
      <c r="AN7">
        <v>45.19</v>
      </c>
      <c r="AO7">
        <v>51.27</v>
      </c>
      <c r="AP7">
        <v>27.68</v>
      </c>
      <c r="AQ7">
        <v>22.93</v>
      </c>
      <c r="AR7">
        <v>28.5</v>
      </c>
      <c r="AS7">
        <v>22.54</v>
      </c>
      <c r="AT7">
        <v>29.09</v>
      </c>
      <c r="AU7">
        <v>27.03</v>
      </c>
      <c r="AV7">
        <v>17.73</v>
      </c>
      <c r="AW7">
        <v>25.3</v>
      </c>
      <c r="AX7">
        <v>0.57999999999999996</v>
      </c>
      <c r="AY7">
        <v>12.92</v>
      </c>
      <c r="AZ7">
        <v>13.19</v>
      </c>
      <c r="BA7">
        <v>50.79</v>
      </c>
    </row>
    <row r="8" spans="1:53" x14ac:dyDescent="0.25">
      <c r="A8" s="2" t="s">
        <v>14</v>
      </c>
      <c r="B8" s="2">
        <v>7</v>
      </c>
      <c r="C8" s="17" t="s">
        <v>8</v>
      </c>
      <c r="D8" s="17" t="s">
        <v>30</v>
      </c>
      <c r="E8" s="17">
        <v>-30.010200000000001</v>
      </c>
      <c r="F8" s="17">
        <v>-51.1601</v>
      </c>
      <c r="G8" s="19">
        <v>6.18</v>
      </c>
      <c r="H8">
        <v>10.36</v>
      </c>
      <c r="I8">
        <v>36.33</v>
      </c>
      <c r="J8">
        <v>27.72</v>
      </c>
      <c r="K8">
        <v>17.13</v>
      </c>
      <c r="L8">
        <v>19.5</v>
      </c>
      <c r="M8">
        <v>0</v>
      </c>
      <c r="N8">
        <v>43.79</v>
      </c>
      <c r="O8">
        <v>10.15</v>
      </c>
      <c r="P8">
        <v>8.4</v>
      </c>
      <c r="Q8">
        <v>27.84</v>
      </c>
      <c r="R8">
        <v>9.85</v>
      </c>
      <c r="S8">
        <v>17.39</v>
      </c>
      <c r="T8">
        <v>19.850000000000001</v>
      </c>
      <c r="U8">
        <v>17.690000000000001</v>
      </c>
      <c r="V8">
        <v>5.0199999999999996</v>
      </c>
      <c r="W8">
        <v>6.96</v>
      </c>
      <c r="X8">
        <v>5.41</v>
      </c>
      <c r="Y8">
        <v>4.6500000000000004</v>
      </c>
      <c r="Z8">
        <v>1.93</v>
      </c>
      <c r="AA8">
        <v>9.16</v>
      </c>
      <c r="AB8">
        <v>9.34</v>
      </c>
      <c r="AC8">
        <v>17.62</v>
      </c>
      <c r="AD8">
        <v>18.82</v>
      </c>
      <c r="AE8">
        <v>38.130000000000003</v>
      </c>
      <c r="AF8">
        <v>38.630000000000003</v>
      </c>
      <c r="AG8">
        <v>44.02</v>
      </c>
      <c r="AH8">
        <v>43.43</v>
      </c>
      <c r="AI8">
        <v>27.32</v>
      </c>
      <c r="AJ8">
        <v>29.26</v>
      </c>
      <c r="AK8">
        <v>36.18</v>
      </c>
      <c r="AL8">
        <v>35.21</v>
      </c>
      <c r="AM8">
        <v>37.19</v>
      </c>
      <c r="AN8">
        <v>30.62</v>
      </c>
      <c r="AO8">
        <v>36.590000000000003</v>
      </c>
      <c r="AP8">
        <v>11.71</v>
      </c>
      <c r="AQ8">
        <v>7.64</v>
      </c>
      <c r="AR8">
        <v>12.04</v>
      </c>
      <c r="AS8">
        <v>9.5500000000000007</v>
      </c>
      <c r="AT8">
        <v>15.26</v>
      </c>
      <c r="AU8">
        <v>11.42</v>
      </c>
      <c r="AV8">
        <v>3.1</v>
      </c>
      <c r="AW8">
        <v>10.07</v>
      </c>
      <c r="AX8">
        <v>19.38</v>
      </c>
      <c r="AY8">
        <v>7.17</v>
      </c>
      <c r="AZ8">
        <v>7.95</v>
      </c>
      <c r="BA8">
        <v>36</v>
      </c>
    </row>
    <row r="9" spans="1:53" x14ac:dyDescent="0.25">
      <c r="A9" s="2" t="s">
        <v>14</v>
      </c>
      <c r="B9" s="2">
        <v>8</v>
      </c>
      <c r="C9" s="17" t="s">
        <v>5</v>
      </c>
      <c r="D9" s="17" t="s">
        <v>31</v>
      </c>
      <c r="E9" s="17">
        <v>-29.638200000000001</v>
      </c>
      <c r="F9" s="17">
        <v>-51.011200000000002</v>
      </c>
      <c r="G9" s="19">
        <v>49.9</v>
      </c>
      <c r="H9">
        <v>35.39</v>
      </c>
      <c r="I9">
        <v>12.6</v>
      </c>
      <c r="J9">
        <v>18.87</v>
      </c>
      <c r="K9">
        <v>33.479999999999997</v>
      </c>
      <c r="L9">
        <v>60.73</v>
      </c>
      <c r="M9">
        <v>43.79</v>
      </c>
      <c r="N9">
        <v>0</v>
      </c>
      <c r="O9">
        <v>35.340000000000003</v>
      </c>
      <c r="P9">
        <v>36.31</v>
      </c>
      <c r="Q9">
        <v>18.899999999999999</v>
      </c>
      <c r="R9">
        <v>35.520000000000003</v>
      </c>
      <c r="S9">
        <v>29.21</v>
      </c>
      <c r="T9">
        <v>25.28</v>
      </c>
      <c r="U9">
        <v>28.77</v>
      </c>
      <c r="V9">
        <v>48.8</v>
      </c>
      <c r="W9">
        <v>48.4</v>
      </c>
      <c r="X9">
        <v>47.15</v>
      </c>
      <c r="Y9">
        <v>46.95</v>
      </c>
      <c r="Z9">
        <v>45.71</v>
      </c>
      <c r="AA9">
        <v>35.22</v>
      </c>
      <c r="AB9">
        <v>35.380000000000003</v>
      </c>
      <c r="AC9">
        <v>33.82</v>
      </c>
      <c r="AD9">
        <v>33.729999999999997</v>
      </c>
      <c r="AE9">
        <v>6.61</v>
      </c>
      <c r="AF9">
        <v>5.89</v>
      </c>
      <c r="AG9">
        <v>0.34</v>
      </c>
      <c r="AH9">
        <v>0.45</v>
      </c>
      <c r="AI9">
        <v>18.93</v>
      </c>
      <c r="AJ9">
        <v>17.09</v>
      </c>
      <c r="AK9">
        <v>12.47</v>
      </c>
      <c r="AL9">
        <v>12.68</v>
      </c>
      <c r="AM9">
        <v>10.96</v>
      </c>
      <c r="AN9">
        <v>17.12</v>
      </c>
      <c r="AO9">
        <v>12.65</v>
      </c>
      <c r="AP9">
        <v>33.17</v>
      </c>
      <c r="AQ9">
        <v>38.01</v>
      </c>
      <c r="AR9">
        <v>32.450000000000003</v>
      </c>
      <c r="AS9">
        <v>49.24</v>
      </c>
      <c r="AT9">
        <v>49.37</v>
      </c>
      <c r="AU9">
        <v>33.78</v>
      </c>
      <c r="AV9">
        <v>46.77</v>
      </c>
      <c r="AW9">
        <v>35.51</v>
      </c>
      <c r="AX9">
        <v>60.85</v>
      </c>
      <c r="AY9">
        <v>48.32</v>
      </c>
      <c r="AZ9">
        <v>51.7</v>
      </c>
      <c r="BA9">
        <v>12.68</v>
      </c>
    </row>
    <row r="10" spans="1:53" x14ac:dyDescent="0.25">
      <c r="A10" s="2" t="s">
        <v>14</v>
      </c>
      <c r="B10" s="2">
        <v>9</v>
      </c>
      <c r="C10" s="2" t="s">
        <v>7</v>
      </c>
      <c r="D10" s="2" t="s">
        <v>32</v>
      </c>
      <c r="E10" s="2">
        <v>-29.920500000000001</v>
      </c>
      <c r="F10" s="2">
        <v>-51.179499999999997</v>
      </c>
      <c r="G10">
        <v>15.46</v>
      </c>
      <c r="H10">
        <v>0.4</v>
      </c>
      <c r="I10">
        <v>26.67</v>
      </c>
      <c r="J10">
        <v>18.010000000000002</v>
      </c>
      <c r="K10">
        <v>17.2</v>
      </c>
      <c r="L10">
        <v>25.47</v>
      </c>
      <c r="M10">
        <v>10.15</v>
      </c>
      <c r="N10">
        <v>35.340000000000003</v>
      </c>
      <c r="O10">
        <v>0</v>
      </c>
      <c r="P10">
        <v>1.96</v>
      </c>
      <c r="Q10">
        <v>18.100000000000001</v>
      </c>
      <c r="R10">
        <v>0.31</v>
      </c>
      <c r="S10">
        <v>7.29</v>
      </c>
      <c r="T10">
        <v>10.3</v>
      </c>
      <c r="U10">
        <v>7.62</v>
      </c>
      <c r="V10">
        <v>14.8</v>
      </c>
      <c r="W10">
        <v>13.11</v>
      </c>
      <c r="X10">
        <v>11.98</v>
      </c>
      <c r="Y10">
        <v>11.93</v>
      </c>
      <c r="Z10">
        <v>11.92</v>
      </c>
      <c r="AA10">
        <v>7.95</v>
      </c>
      <c r="AB10">
        <v>8.6999999999999993</v>
      </c>
      <c r="AC10">
        <v>17.940000000000001</v>
      </c>
      <c r="AD10">
        <v>19.16</v>
      </c>
      <c r="AE10">
        <v>29.25</v>
      </c>
      <c r="AF10">
        <v>29.82</v>
      </c>
      <c r="AG10">
        <v>35.6</v>
      </c>
      <c r="AH10">
        <v>34.950000000000003</v>
      </c>
      <c r="AI10">
        <v>17.670000000000002</v>
      </c>
      <c r="AJ10">
        <v>19.66</v>
      </c>
      <c r="AK10">
        <v>26.54</v>
      </c>
      <c r="AL10">
        <v>25.62</v>
      </c>
      <c r="AM10">
        <v>27.67</v>
      </c>
      <c r="AN10">
        <v>20.84</v>
      </c>
      <c r="AO10">
        <v>26.91</v>
      </c>
      <c r="AP10">
        <v>2.2200000000000002</v>
      </c>
      <c r="AQ10">
        <v>2.78</v>
      </c>
      <c r="AR10">
        <v>3.13</v>
      </c>
      <c r="AS10">
        <v>19.010000000000002</v>
      </c>
      <c r="AT10">
        <v>23.32</v>
      </c>
      <c r="AU10">
        <v>1.57</v>
      </c>
      <c r="AV10">
        <v>13.17</v>
      </c>
      <c r="AW10">
        <v>0.18</v>
      </c>
      <c r="AX10">
        <v>25.56</v>
      </c>
      <c r="AY10">
        <v>13.01</v>
      </c>
      <c r="AZ10">
        <v>17.239999999999998</v>
      </c>
      <c r="BA10">
        <v>26.35</v>
      </c>
    </row>
    <row r="11" spans="1:53" x14ac:dyDescent="0.25">
      <c r="A11" s="2" t="s">
        <v>13</v>
      </c>
      <c r="B11" s="2">
        <v>10</v>
      </c>
      <c r="C11" s="2" t="s">
        <v>7</v>
      </c>
      <c r="D11" s="2" t="s">
        <v>33</v>
      </c>
      <c r="E11" s="2">
        <v>-29.934999999999999</v>
      </c>
      <c r="F11" s="2">
        <v>-51.167999999999999</v>
      </c>
      <c r="G11">
        <v>13.98</v>
      </c>
      <c r="H11">
        <v>2.2999999999999998</v>
      </c>
      <c r="I11">
        <v>28.09</v>
      </c>
      <c r="J11">
        <v>19.440000000000001</v>
      </c>
      <c r="K11">
        <v>15.97</v>
      </c>
      <c r="L11">
        <v>24.8</v>
      </c>
      <c r="M11">
        <v>8.4</v>
      </c>
      <c r="N11">
        <v>36.31</v>
      </c>
      <c r="O11">
        <v>1.96</v>
      </c>
      <c r="P11">
        <v>0</v>
      </c>
      <c r="Q11">
        <v>19.55</v>
      </c>
      <c r="R11">
        <v>1.65</v>
      </c>
      <c r="S11">
        <v>9</v>
      </c>
      <c r="T11">
        <v>11.61</v>
      </c>
      <c r="U11">
        <v>9.2899999999999991</v>
      </c>
      <c r="V11">
        <v>13.19</v>
      </c>
      <c r="W11">
        <v>12.11</v>
      </c>
      <c r="X11">
        <v>10.84</v>
      </c>
      <c r="Y11">
        <v>10.68</v>
      </c>
      <c r="Z11">
        <v>10.23</v>
      </c>
      <c r="AA11">
        <v>6.46</v>
      </c>
      <c r="AB11">
        <v>7.18</v>
      </c>
      <c r="AC11">
        <v>16.690000000000001</v>
      </c>
      <c r="AD11">
        <v>17.93</v>
      </c>
      <c r="AE11">
        <v>30.35</v>
      </c>
      <c r="AF11">
        <v>30.9</v>
      </c>
      <c r="AG11">
        <v>36.56</v>
      </c>
      <c r="AH11">
        <v>35.92</v>
      </c>
      <c r="AI11">
        <v>19.07</v>
      </c>
      <c r="AJ11">
        <v>21.04</v>
      </c>
      <c r="AK11">
        <v>27.96</v>
      </c>
      <c r="AL11">
        <v>27.01</v>
      </c>
      <c r="AM11">
        <v>29.03</v>
      </c>
      <c r="AN11">
        <v>22.31</v>
      </c>
      <c r="AO11">
        <v>28.35</v>
      </c>
      <c r="AP11">
        <v>3.35</v>
      </c>
      <c r="AQ11">
        <v>1.98</v>
      </c>
      <c r="AR11">
        <v>3.88</v>
      </c>
      <c r="AS11">
        <v>17.079999999999998</v>
      </c>
      <c r="AT11">
        <v>21.37</v>
      </c>
      <c r="AU11">
        <v>3.03</v>
      </c>
      <c r="AV11">
        <v>11.47</v>
      </c>
      <c r="AW11">
        <v>1.96</v>
      </c>
      <c r="AX11">
        <v>24.85</v>
      </c>
      <c r="AY11">
        <v>12.06</v>
      </c>
      <c r="AZ11">
        <v>15.78</v>
      </c>
      <c r="BA11">
        <v>27.77</v>
      </c>
    </row>
    <row r="12" spans="1:53" x14ac:dyDescent="0.25">
      <c r="A12" s="2" t="s">
        <v>14</v>
      </c>
      <c r="B12" s="2">
        <v>12</v>
      </c>
      <c r="C12" s="2" t="s">
        <v>25</v>
      </c>
      <c r="D12" s="2" t="s">
        <v>34</v>
      </c>
      <c r="E12" s="2">
        <v>-29.760100000000001</v>
      </c>
      <c r="F12" s="2">
        <v>-51.147500000000001</v>
      </c>
      <c r="G12">
        <v>33.520000000000003</v>
      </c>
      <c r="H12">
        <v>18.03</v>
      </c>
      <c r="I12">
        <v>8.57</v>
      </c>
      <c r="J12">
        <v>0.2</v>
      </c>
      <c r="K12">
        <v>24.35</v>
      </c>
      <c r="L12">
        <v>42.67</v>
      </c>
      <c r="M12">
        <v>27.84</v>
      </c>
      <c r="N12">
        <v>18.899999999999999</v>
      </c>
      <c r="O12">
        <v>18.100000000000001</v>
      </c>
      <c r="P12">
        <v>19.55</v>
      </c>
      <c r="Q12">
        <v>0</v>
      </c>
      <c r="R12">
        <v>18.350000000000001</v>
      </c>
      <c r="S12">
        <v>11.06</v>
      </c>
      <c r="T12">
        <v>8</v>
      </c>
      <c r="U12">
        <v>10.66</v>
      </c>
      <c r="V12">
        <v>32.729999999999997</v>
      </c>
      <c r="W12">
        <v>31.06</v>
      </c>
      <c r="X12">
        <v>30.04</v>
      </c>
      <c r="Y12">
        <v>30.03</v>
      </c>
      <c r="Z12">
        <v>29.73</v>
      </c>
      <c r="AA12">
        <v>21.02</v>
      </c>
      <c r="AB12">
        <v>21.5</v>
      </c>
      <c r="AC12">
        <v>25.01</v>
      </c>
      <c r="AD12">
        <v>25.63</v>
      </c>
      <c r="AE12">
        <v>12.31</v>
      </c>
      <c r="AF12">
        <v>13.01</v>
      </c>
      <c r="AG12">
        <v>19.21</v>
      </c>
      <c r="AH12">
        <v>18.46</v>
      </c>
      <c r="AI12">
        <v>0.76</v>
      </c>
      <c r="AJ12">
        <v>1.81</v>
      </c>
      <c r="AK12">
        <v>8.4499999999999993</v>
      </c>
      <c r="AL12">
        <v>7.56</v>
      </c>
      <c r="AM12">
        <v>9.65</v>
      </c>
      <c r="AN12">
        <v>2.79</v>
      </c>
      <c r="AO12">
        <v>8.81</v>
      </c>
      <c r="AP12">
        <v>16.2</v>
      </c>
      <c r="AQ12">
        <v>20.88</v>
      </c>
      <c r="AR12">
        <v>15.8</v>
      </c>
      <c r="AS12">
        <v>35.380000000000003</v>
      </c>
      <c r="AT12">
        <v>37.69</v>
      </c>
      <c r="AU12">
        <v>16.61</v>
      </c>
      <c r="AV12">
        <v>30.93</v>
      </c>
      <c r="AW12">
        <v>18.239999999999998</v>
      </c>
      <c r="AX12">
        <v>42.86</v>
      </c>
      <c r="AY12">
        <v>30.92</v>
      </c>
      <c r="AZ12">
        <v>35.31</v>
      </c>
      <c r="BA12">
        <v>8.26</v>
      </c>
    </row>
    <row r="13" spans="1:53" x14ac:dyDescent="0.25">
      <c r="A13" s="2" t="s">
        <v>13</v>
      </c>
      <c r="B13" s="2">
        <v>13</v>
      </c>
      <c r="C13" s="2" t="s">
        <v>7</v>
      </c>
      <c r="D13" s="2" t="s">
        <v>35</v>
      </c>
      <c r="E13" s="2">
        <v>-29.922999999999998</v>
      </c>
      <c r="F13" s="2">
        <v>-51.177999999999997</v>
      </c>
      <c r="G13">
        <v>15.19</v>
      </c>
      <c r="H13">
        <v>0.67</v>
      </c>
      <c r="I13">
        <v>26.92</v>
      </c>
      <c r="J13">
        <v>18.260000000000002</v>
      </c>
      <c r="K13">
        <v>17.03</v>
      </c>
      <c r="L13">
        <v>25.32</v>
      </c>
      <c r="M13">
        <v>9.85</v>
      </c>
      <c r="N13">
        <v>35.520000000000003</v>
      </c>
      <c r="O13">
        <v>0.31</v>
      </c>
      <c r="P13">
        <v>1.65</v>
      </c>
      <c r="Q13">
        <v>18.350000000000001</v>
      </c>
      <c r="R13">
        <v>0</v>
      </c>
      <c r="S13">
        <v>7.57</v>
      </c>
      <c r="T13">
        <v>10.52</v>
      </c>
      <c r="U13">
        <v>7.9</v>
      </c>
      <c r="V13">
        <v>14.51</v>
      </c>
      <c r="W13">
        <v>12.91</v>
      </c>
      <c r="X13">
        <v>11.75</v>
      </c>
      <c r="Y13">
        <v>11.69</v>
      </c>
      <c r="Z13">
        <v>11.63</v>
      </c>
      <c r="AA13">
        <v>7.72</v>
      </c>
      <c r="AB13">
        <v>8.4700000000000006</v>
      </c>
      <c r="AC13">
        <v>17.760000000000002</v>
      </c>
      <c r="AD13">
        <v>18.989999999999998</v>
      </c>
      <c r="AE13">
        <v>29.45</v>
      </c>
      <c r="AF13">
        <v>30.02</v>
      </c>
      <c r="AG13">
        <v>35.78</v>
      </c>
      <c r="AH13">
        <v>35.130000000000003</v>
      </c>
      <c r="AI13">
        <v>17.91</v>
      </c>
      <c r="AJ13">
        <v>19.899999999999999</v>
      </c>
      <c r="AK13">
        <v>26.79</v>
      </c>
      <c r="AL13">
        <v>25.86</v>
      </c>
      <c r="AM13">
        <v>27.91</v>
      </c>
      <c r="AN13">
        <v>21.09</v>
      </c>
      <c r="AO13">
        <v>27.16</v>
      </c>
      <c r="AP13">
        <v>2.36</v>
      </c>
      <c r="AQ13">
        <v>2.54</v>
      </c>
      <c r="AR13">
        <v>3.22</v>
      </c>
      <c r="AS13">
        <v>18.7</v>
      </c>
      <c r="AT13">
        <v>23.01</v>
      </c>
      <c r="AU13">
        <v>1.77</v>
      </c>
      <c r="AV13">
        <v>12.88</v>
      </c>
      <c r="AW13">
        <v>0.33</v>
      </c>
      <c r="AX13">
        <v>25.4</v>
      </c>
      <c r="AY13">
        <v>12.81</v>
      </c>
      <c r="AZ13">
        <v>16.98</v>
      </c>
      <c r="BA13">
        <v>26.6</v>
      </c>
    </row>
    <row r="14" spans="1:53" x14ac:dyDescent="0.25">
      <c r="A14" s="2" t="s">
        <v>14</v>
      </c>
      <c r="B14" s="2">
        <v>14</v>
      </c>
      <c r="C14" s="2" t="s">
        <v>6</v>
      </c>
      <c r="D14" s="2" t="s">
        <v>36</v>
      </c>
      <c r="E14" s="2">
        <v>-29.855</v>
      </c>
      <c r="F14" s="2">
        <v>-51.182000000000002</v>
      </c>
      <c r="G14">
        <v>22.72</v>
      </c>
      <c r="H14">
        <v>7.14</v>
      </c>
      <c r="I14">
        <v>19.61</v>
      </c>
      <c r="J14">
        <v>11</v>
      </c>
      <c r="K14">
        <v>19.690000000000001</v>
      </c>
      <c r="L14">
        <v>31.69</v>
      </c>
      <c r="M14">
        <v>17.39</v>
      </c>
      <c r="N14">
        <v>29.21</v>
      </c>
      <c r="O14">
        <v>7.29</v>
      </c>
      <c r="P14">
        <v>9</v>
      </c>
      <c r="Q14">
        <v>11.06</v>
      </c>
      <c r="R14">
        <v>7.57</v>
      </c>
      <c r="S14">
        <v>0</v>
      </c>
      <c r="T14">
        <v>4.16</v>
      </c>
      <c r="U14">
        <v>0.44</v>
      </c>
      <c r="V14">
        <v>22.08</v>
      </c>
      <c r="W14">
        <v>20.02</v>
      </c>
      <c r="X14">
        <v>19.04</v>
      </c>
      <c r="Y14">
        <v>19.09</v>
      </c>
      <c r="Z14">
        <v>19.2</v>
      </c>
      <c r="AA14">
        <v>12.63</v>
      </c>
      <c r="AB14">
        <v>13.31</v>
      </c>
      <c r="AC14">
        <v>20.46</v>
      </c>
      <c r="AD14">
        <v>21.5</v>
      </c>
      <c r="AE14">
        <v>22.84</v>
      </c>
      <c r="AF14">
        <v>23.47</v>
      </c>
      <c r="AG14">
        <v>29.49</v>
      </c>
      <c r="AH14">
        <v>28.79</v>
      </c>
      <c r="AI14">
        <v>10.73</v>
      </c>
      <c r="AJ14">
        <v>12.73</v>
      </c>
      <c r="AK14">
        <v>19.5</v>
      </c>
      <c r="AL14">
        <v>18.62</v>
      </c>
      <c r="AM14">
        <v>20.72</v>
      </c>
      <c r="AN14">
        <v>13.72</v>
      </c>
      <c r="AO14">
        <v>19.829999999999998</v>
      </c>
      <c r="AP14">
        <v>5.8</v>
      </c>
      <c r="AQ14">
        <v>10.01</v>
      </c>
      <c r="AR14">
        <v>5.84</v>
      </c>
      <c r="AS14">
        <v>25.86</v>
      </c>
      <c r="AT14">
        <v>29.43</v>
      </c>
      <c r="AU14">
        <v>5.97</v>
      </c>
      <c r="AV14">
        <v>20.440000000000001</v>
      </c>
      <c r="AW14">
        <v>7.4</v>
      </c>
      <c r="AX14">
        <v>31.86</v>
      </c>
      <c r="AY14">
        <v>19.87</v>
      </c>
      <c r="AZ14">
        <v>24.49</v>
      </c>
      <c r="BA14">
        <v>19.3</v>
      </c>
    </row>
    <row r="15" spans="1:53" x14ac:dyDescent="0.25">
      <c r="A15" s="2" t="s">
        <v>14</v>
      </c>
      <c r="B15" s="2">
        <v>15</v>
      </c>
      <c r="C15" s="2" t="s">
        <v>38</v>
      </c>
      <c r="D15" s="2" t="s">
        <v>37</v>
      </c>
      <c r="E15" s="2">
        <v>-29.832000000000001</v>
      </c>
      <c r="F15" s="2">
        <v>-51.148000000000003</v>
      </c>
      <c r="G15">
        <v>25.59</v>
      </c>
      <c r="H15">
        <v>10.28</v>
      </c>
      <c r="I15">
        <v>16.489999999999998</v>
      </c>
      <c r="J15">
        <v>7.88</v>
      </c>
      <c r="K15">
        <v>18.420000000000002</v>
      </c>
      <c r="L15">
        <v>35.47</v>
      </c>
      <c r="M15">
        <v>19.850000000000001</v>
      </c>
      <c r="N15">
        <v>25.28</v>
      </c>
      <c r="O15">
        <v>10.3</v>
      </c>
      <c r="P15">
        <v>11.61</v>
      </c>
      <c r="Q15">
        <v>8</v>
      </c>
      <c r="R15">
        <v>10.52</v>
      </c>
      <c r="S15">
        <v>4.16</v>
      </c>
      <c r="T15">
        <v>0</v>
      </c>
      <c r="U15">
        <v>3.73</v>
      </c>
      <c r="V15">
        <v>24.76</v>
      </c>
      <c r="W15">
        <v>23.4</v>
      </c>
      <c r="X15">
        <v>22.28</v>
      </c>
      <c r="Y15">
        <v>22.21</v>
      </c>
      <c r="Z15">
        <v>21.74</v>
      </c>
      <c r="AA15">
        <v>13.32</v>
      </c>
      <c r="AB15">
        <v>13.87</v>
      </c>
      <c r="AC15">
        <v>19.16</v>
      </c>
      <c r="AD15">
        <v>20.04</v>
      </c>
      <c r="AE15">
        <v>19.03</v>
      </c>
      <c r="AF15">
        <v>19.63</v>
      </c>
      <c r="AG15">
        <v>25.55</v>
      </c>
      <c r="AH15">
        <v>24.87</v>
      </c>
      <c r="AI15">
        <v>7.47</v>
      </c>
      <c r="AJ15">
        <v>9.42</v>
      </c>
      <c r="AK15">
        <v>16.350000000000001</v>
      </c>
      <c r="AL15">
        <v>15.39</v>
      </c>
      <c r="AM15">
        <v>17.420000000000002</v>
      </c>
      <c r="AN15">
        <v>10.79</v>
      </c>
      <c r="AO15">
        <v>16.75</v>
      </c>
      <c r="AP15">
        <v>8.2799999999999994</v>
      </c>
      <c r="AQ15">
        <v>13.06</v>
      </c>
      <c r="AR15">
        <v>7.81</v>
      </c>
      <c r="AS15">
        <v>27.5</v>
      </c>
      <c r="AT15">
        <v>30.22</v>
      </c>
      <c r="AU15">
        <v>8.76</v>
      </c>
      <c r="AV15">
        <v>22.95</v>
      </c>
      <c r="AW15">
        <v>10.45</v>
      </c>
      <c r="AX15">
        <v>35.61</v>
      </c>
      <c r="AY15">
        <v>23.28</v>
      </c>
      <c r="AZ15">
        <v>27.4</v>
      </c>
      <c r="BA15">
        <v>16.170000000000002</v>
      </c>
    </row>
    <row r="16" spans="1:53" x14ac:dyDescent="0.25">
      <c r="A16" s="2" t="s">
        <v>15</v>
      </c>
      <c r="B16" s="2">
        <v>16</v>
      </c>
      <c r="C16" s="2" t="s">
        <v>6</v>
      </c>
      <c r="D16" s="2" t="s">
        <v>39</v>
      </c>
      <c r="E16" s="2">
        <v>-29.852</v>
      </c>
      <c r="F16" s="2">
        <v>-51.179000000000002</v>
      </c>
      <c r="G16">
        <v>23.07</v>
      </c>
      <c r="H16">
        <v>7.48</v>
      </c>
      <c r="I16">
        <v>19.21</v>
      </c>
      <c r="J16">
        <v>10.59</v>
      </c>
      <c r="K16">
        <v>19.600000000000001</v>
      </c>
      <c r="L16">
        <v>32.119999999999997</v>
      </c>
      <c r="M16">
        <v>17.690000000000001</v>
      </c>
      <c r="N16">
        <v>28.77</v>
      </c>
      <c r="O16">
        <v>7.62</v>
      </c>
      <c r="P16">
        <v>9.2899999999999991</v>
      </c>
      <c r="Q16">
        <v>10.66</v>
      </c>
      <c r="R16">
        <v>7.9</v>
      </c>
      <c r="S16">
        <v>0.44</v>
      </c>
      <c r="T16">
        <v>3.73</v>
      </c>
      <c r="U16">
        <v>0</v>
      </c>
      <c r="V16">
        <v>22.41</v>
      </c>
      <c r="W16">
        <v>20.41</v>
      </c>
      <c r="X16">
        <v>19.420000000000002</v>
      </c>
      <c r="Y16">
        <v>19.45</v>
      </c>
      <c r="Z16">
        <v>19.510000000000002</v>
      </c>
      <c r="AA16">
        <v>12.73</v>
      </c>
      <c r="AB16">
        <v>13.4</v>
      </c>
      <c r="AC16">
        <v>20.37</v>
      </c>
      <c r="AD16">
        <v>21.39</v>
      </c>
      <c r="AE16">
        <v>22.4</v>
      </c>
      <c r="AF16">
        <v>23.04</v>
      </c>
      <c r="AG16">
        <v>29.05</v>
      </c>
      <c r="AH16">
        <v>28.35</v>
      </c>
      <c r="AI16">
        <v>10.31</v>
      </c>
      <c r="AJ16">
        <v>12.32</v>
      </c>
      <c r="AK16">
        <v>19.100000000000001</v>
      </c>
      <c r="AL16">
        <v>18.22</v>
      </c>
      <c r="AM16">
        <v>20.309999999999999</v>
      </c>
      <c r="AN16">
        <v>13.33</v>
      </c>
      <c r="AO16">
        <v>19.440000000000001</v>
      </c>
      <c r="AP16">
        <v>6.05</v>
      </c>
      <c r="AQ16">
        <v>10.36</v>
      </c>
      <c r="AR16">
        <v>6.02</v>
      </c>
      <c r="AS16">
        <v>26.08</v>
      </c>
      <c r="AT16">
        <v>29.57</v>
      </c>
      <c r="AU16">
        <v>6.26</v>
      </c>
      <c r="AV16">
        <v>20.75</v>
      </c>
      <c r="AW16">
        <v>7.73</v>
      </c>
      <c r="AX16">
        <v>32.28</v>
      </c>
      <c r="AY16">
        <v>20.27</v>
      </c>
      <c r="AZ16">
        <v>24.84</v>
      </c>
      <c r="BA16">
        <v>18.91</v>
      </c>
    </row>
    <row r="17" spans="1:53" x14ac:dyDescent="0.25">
      <c r="A17" s="2" t="s">
        <v>17</v>
      </c>
      <c r="B17" s="2">
        <v>17</v>
      </c>
      <c r="C17" s="2" t="s">
        <v>8</v>
      </c>
      <c r="D17" s="2" t="s">
        <v>40</v>
      </c>
      <c r="E17" s="2">
        <v>-30.0535</v>
      </c>
      <c r="F17" s="2">
        <v>-51.174799999999998</v>
      </c>
      <c r="G17">
        <v>1.64</v>
      </c>
      <c r="H17">
        <v>14.96</v>
      </c>
      <c r="I17">
        <v>41.26</v>
      </c>
      <c r="J17">
        <v>32.619999999999997</v>
      </c>
      <c r="K17">
        <v>20.92</v>
      </c>
      <c r="L17">
        <v>15.87</v>
      </c>
      <c r="M17">
        <v>5.0199999999999996</v>
      </c>
      <c r="N17">
        <v>48.8</v>
      </c>
      <c r="O17">
        <v>14.8</v>
      </c>
      <c r="P17">
        <v>13.19</v>
      </c>
      <c r="Q17">
        <v>32.729999999999997</v>
      </c>
      <c r="R17">
        <v>14.51</v>
      </c>
      <c r="S17">
        <v>22.08</v>
      </c>
      <c r="T17">
        <v>24.76</v>
      </c>
      <c r="U17">
        <v>22.41</v>
      </c>
      <c r="V17">
        <v>0</v>
      </c>
      <c r="W17">
        <v>5.77</v>
      </c>
      <c r="X17">
        <v>5</v>
      </c>
      <c r="Y17">
        <v>4.26</v>
      </c>
      <c r="Z17">
        <v>3.09</v>
      </c>
      <c r="AA17">
        <v>13.95</v>
      </c>
      <c r="AB17">
        <v>14.02</v>
      </c>
      <c r="AC17">
        <v>21.3</v>
      </c>
      <c r="AD17">
        <v>22.42</v>
      </c>
      <c r="AE17">
        <v>43.15</v>
      </c>
      <c r="AF17">
        <v>43.64</v>
      </c>
      <c r="AG17">
        <v>49.03</v>
      </c>
      <c r="AH17">
        <v>48.44</v>
      </c>
      <c r="AI17">
        <v>32.24</v>
      </c>
      <c r="AJ17">
        <v>34.19</v>
      </c>
      <c r="AK17">
        <v>41.11</v>
      </c>
      <c r="AL17">
        <v>40.15</v>
      </c>
      <c r="AM17">
        <v>42.15</v>
      </c>
      <c r="AN17">
        <v>35.5</v>
      </c>
      <c r="AO17">
        <v>41.51</v>
      </c>
      <c r="AP17">
        <v>16.54</v>
      </c>
      <c r="AQ17">
        <v>12.1</v>
      </c>
      <c r="AR17">
        <v>16.95</v>
      </c>
      <c r="AS17">
        <v>8.0399999999999991</v>
      </c>
      <c r="AT17">
        <v>14.76</v>
      </c>
      <c r="AU17">
        <v>16.18</v>
      </c>
      <c r="AV17">
        <v>2.12</v>
      </c>
      <c r="AW17">
        <v>14.69</v>
      </c>
      <c r="AX17">
        <v>15.64</v>
      </c>
      <c r="AY17">
        <v>6.12</v>
      </c>
      <c r="AZ17">
        <v>3.08</v>
      </c>
      <c r="BA17">
        <v>40.93</v>
      </c>
    </row>
    <row r="18" spans="1:53" x14ac:dyDescent="0.25">
      <c r="A18" s="2" t="s">
        <v>16</v>
      </c>
      <c r="B18" s="2">
        <v>18</v>
      </c>
      <c r="C18" s="2" t="s">
        <v>8</v>
      </c>
      <c r="D18" s="2" t="s">
        <v>41</v>
      </c>
      <c r="E18" s="2">
        <v>-30.0305</v>
      </c>
      <c r="F18" s="2">
        <v>-51.228499999999997</v>
      </c>
      <c r="G18">
        <v>4.8499999999999996</v>
      </c>
      <c r="H18">
        <v>13.12</v>
      </c>
      <c r="I18">
        <v>39.619999999999997</v>
      </c>
      <c r="J18">
        <v>30.99</v>
      </c>
      <c r="K18">
        <v>24.04</v>
      </c>
      <c r="L18">
        <v>12.97</v>
      </c>
      <c r="M18">
        <v>6.96</v>
      </c>
      <c r="N18">
        <v>48.4</v>
      </c>
      <c r="O18">
        <v>13.11</v>
      </c>
      <c r="P18">
        <v>12.11</v>
      </c>
      <c r="Q18">
        <v>31.06</v>
      </c>
      <c r="R18">
        <v>12.91</v>
      </c>
      <c r="S18">
        <v>20.02</v>
      </c>
      <c r="T18">
        <v>23.4</v>
      </c>
      <c r="U18">
        <v>20.41</v>
      </c>
      <c r="V18">
        <v>5.77</v>
      </c>
      <c r="W18">
        <v>0</v>
      </c>
      <c r="X18">
        <v>1.57</v>
      </c>
      <c r="Y18">
        <v>2.33</v>
      </c>
      <c r="Z18">
        <v>6.13</v>
      </c>
      <c r="AA18">
        <v>15.45</v>
      </c>
      <c r="AB18">
        <v>15.79</v>
      </c>
      <c r="AC18">
        <v>24.55</v>
      </c>
      <c r="AD18">
        <v>25.76</v>
      </c>
      <c r="AE18">
        <v>42.36</v>
      </c>
      <c r="AF18">
        <v>42.93</v>
      </c>
      <c r="AG18">
        <v>48.65</v>
      </c>
      <c r="AH18">
        <v>48.01</v>
      </c>
      <c r="AI18">
        <v>30.68</v>
      </c>
      <c r="AJ18">
        <v>32.68</v>
      </c>
      <c r="AK18">
        <v>39.51</v>
      </c>
      <c r="AL18">
        <v>38.619999999999997</v>
      </c>
      <c r="AM18">
        <v>40.700000000000003</v>
      </c>
      <c r="AN18">
        <v>33.74</v>
      </c>
      <c r="AO18">
        <v>39.85</v>
      </c>
      <c r="AP18">
        <v>15.24</v>
      </c>
      <c r="AQ18">
        <v>10.39</v>
      </c>
      <c r="AR18">
        <v>15.95</v>
      </c>
      <c r="AS18">
        <v>13.77</v>
      </c>
      <c r="AT18">
        <v>20.41</v>
      </c>
      <c r="AU18">
        <v>14.67</v>
      </c>
      <c r="AV18">
        <v>6.46</v>
      </c>
      <c r="AW18">
        <v>12.96</v>
      </c>
      <c r="AX18">
        <v>12.94</v>
      </c>
      <c r="AY18">
        <v>0.36</v>
      </c>
      <c r="AZ18">
        <v>5.91</v>
      </c>
      <c r="BA18">
        <v>39.32</v>
      </c>
    </row>
    <row r="19" spans="1:53" x14ac:dyDescent="0.25">
      <c r="A19" s="2" t="s">
        <v>14</v>
      </c>
      <c r="B19" s="2">
        <v>19</v>
      </c>
      <c r="C19" s="2" t="s">
        <v>8</v>
      </c>
      <c r="D19" s="2" t="s">
        <v>42</v>
      </c>
      <c r="E19" s="2">
        <v>-30.024000000000001</v>
      </c>
      <c r="F19" s="2">
        <v>-51.213999999999999</v>
      </c>
      <c r="G19">
        <v>4.5199999999999996</v>
      </c>
      <c r="H19">
        <v>12.02</v>
      </c>
      <c r="I19">
        <v>38.61</v>
      </c>
      <c r="J19">
        <v>29.95</v>
      </c>
      <c r="K19">
        <v>22.46</v>
      </c>
      <c r="L19">
        <v>14.48</v>
      </c>
      <c r="M19">
        <v>5.41</v>
      </c>
      <c r="N19">
        <v>47.15</v>
      </c>
      <c r="O19">
        <v>11.98</v>
      </c>
      <c r="P19">
        <v>10.84</v>
      </c>
      <c r="Q19">
        <v>30.04</v>
      </c>
      <c r="R19">
        <v>11.75</v>
      </c>
      <c r="S19">
        <v>19.04</v>
      </c>
      <c r="T19">
        <v>22.28</v>
      </c>
      <c r="U19">
        <v>19.420000000000002</v>
      </c>
      <c r="V19">
        <v>5</v>
      </c>
      <c r="W19">
        <v>1.57</v>
      </c>
      <c r="X19">
        <v>0</v>
      </c>
      <c r="Y19">
        <v>0.88</v>
      </c>
      <c r="Z19">
        <v>4.7300000000000004</v>
      </c>
      <c r="AA19">
        <v>13.91</v>
      </c>
      <c r="AB19">
        <v>14.24</v>
      </c>
      <c r="AC19">
        <v>22.98</v>
      </c>
      <c r="AD19">
        <v>24.2</v>
      </c>
      <c r="AE19">
        <v>41.17</v>
      </c>
      <c r="AF19">
        <v>41.73</v>
      </c>
      <c r="AG19">
        <v>47.4</v>
      </c>
      <c r="AH19">
        <v>46.76</v>
      </c>
      <c r="AI19">
        <v>29.62</v>
      </c>
      <c r="AJ19">
        <v>31.62</v>
      </c>
      <c r="AK19">
        <v>38.49</v>
      </c>
      <c r="AL19">
        <v>37.58</v>
      </c>
      <c r="AM19">
        <v>39.64</v>
      </c>
      <c r="AN19">
        <v>32.74</v>
      </c>
      <c r="AO19">
        <v>38.840000000000003</v>
      </c>
      <c r="AP19">
        <v>14.05</v>
      </c>
      <c r="AQ19">
        <v>9.2200000000000006</v>
      </c>
      <c r="AR19">
        <v>14.71</v>
      </c>
      <c r="AS19">
        <v>12.78</v>
      </c>
      <c r="AT19">
        <v>19.3</v>
      </c>
      <c r="AU19">
        <v>13.52</v>
      </c>
      <c r="AV19">
        <v>5.24</v>
      </c>
      <c r="AW19">
        <v>11.83</v>
      </c>
      <c r="AX19">
        <v>14.44</v>
      </c>
      <c r="AY19">
        <v>1.76</v>
      </c>
      <c r="AZ19">
        <v>5.96</v>
      </c>
      <c r="BA19">
        <v>38.29</v>
      </c>
    </row>
    <row r="20" spans="1:53" x14ac:dyDescent="0.25">
      <c r="A20" s="2" t="s">
        <v>14</v>
      </c>
      <c r="B20" s="2">
        <v>20</v>
      </c>
      <c r="C20" s="2" t="s">
        <v>8</v>
      </c>
      <c r="D20" s="2" t="s">
        <v>43</v>
      </c>
      <c r="E20" s="2">
        <v>-30.025500000000001</v>
      </c>
      <c r="F20" s="2">
        <v>-51.204999999999998</v>
      </c>
      <c r="G20">
        <v>4</v>
      </c>
      <c r="H20">
        <v>12</v>
      </c>
      <c r="I20">
        <v>38.6</v>
      </c>
      <c r="J20">
        <v>29.94</v>
      </c>
      <c r="K20">
        <v>21.75</v>
      </c>
      <c r="L20">
        <v>15.03</v>
      </c>
      <c r="M20">
        <v>4.6500000000000004</v>
      </c>
      <c r="N20">
        <v>46.95</v>
      </c>
      <c r="O20">
        <v>11.93</v>
      </c>
      <c r="P20">
        <v>10.68</v>
      </c>
      <c r="Q20">
        <v>30.03</v>
      </c>
      <c r="R20">
        <v>11.69</v>
      </c>
      <c r="S20">
        <v>19.09</v>
      </c>
      <c r="T20">
        <v>22.21</v>
      </c>
      <c r="U20">
        <v>19.45</v>
      </c>
      <c r="V20">
        <v>4.26</v>
      </c>
      <c r="W20">
        <v>2.33</v>
      </c>
      <c r="X20">
        <v>0.88</v>
      </c>
      <c r="Y20">
        <v>0</v>
      </c>
      <c r="Z20">
        <v>3.85</v>
      </c>
      <c r="AA20">
        <v>13.36</v>
      </c>
      <c r="AB20">
        <v>13.66</v>
      </c>
      <c r="AC20">
        <v>22.26</v>
      </c>
      <c r="AD20">
        <v>23.47</v>
      </c>
      <c r="AE20">
        <v>41.03</v>
      </c>
      <c r="AF20">
        <v>41.57</v>
      </c>
      <c r="AG20">
        <v>47.19</v>
      </c>
      <c r="AH20">
        <v>46.57</v>
      </c>
      <c r="AI20">
        <v>29.6</v>
      </c>
      <c r="AJ20">
        <v>31.59</v>
      </c>
      <c r="AK20">
        <v>38.47</v>
      </c>
      <c r="AL20">
        <v>37.549999999999997</v>
      </c>
      <c r="AM20">
        <v>39.6</v>
      </c>
      <c r="AN20">
        <v>32.75</v>
      </c>
      <c r="AO20">
        <v>38.840000000000003</v>
      </c>
      <c r="AP20">
        <v>13.94</v>
      </c>
      <c r="AQ20">
        <v>9.16</v>
      </c>
      <c r="AR20">
        <v>14.55</v>
      </c>
      <c r="AS20">
        <v>11.93</v>
      </c>
      <c r="AT20">
        <v>18.43</v>
      </c>
      <c r="AU20">
        <v>13.45</v>
      </c>
      <c r="AV20">
        <v>4.37</v>
      </c>
      <c r="AW20">
        <v>11.79</v>
      </c>
      <c r="AX20">
        <v>14.95</v>
      </c>
      <c r="AY20">
        <v>2.57</v>
      </c>
      <c r="AZ20">
        <v>5.59</v>
      </c>
      <c r="BA20">
        <v>38.28</v>
      </c>
    </row>
    <row r="21" spans="1:53" x14ac:dyDescent="0.25">
      <c r="A21" s="2" t="s">
        <v>15</v>
      </c>
      <c r="B21" s="2">
        <v>21</v>
      </c>
      <c r="C21" s="2" t="s">
        <v>8</v>
      </c>
      <c r="D21" s="2" t="s">
        <v>44</v>
      </c>
      <c r="E21" s="2">
        <v>-30.027000000000001</v>
      </c>
      <c r="F21" s="2">
        <v>-51.164999999999999</v>
      </c>
      <c r="G21">
        <v>4.34</v>
      </c>
      <c r="H21">
        <v>12.12</v>
      </c>
      <c r="I21">
        <v>38.229999999999997</v>
      </c>
      <c r="J21">
        <v>29.61</v>
      </c>
      <c r="K21">
        <v>18.46</v>
      </c>
      <c r="L21">
        <v>18.079999999999998</v>
      </c>
      <c r="M21">
        <v>1.93</v>
      </c>
      <c r="N21">
        <v>45.71</v>
      </c>
      <c r="O21">
        <v>11.92</v>
      </c>
      <c r="P21">
        <v>10.23</v>
      </c>
      <c r="Q21">
        <v>29.73</v>
      </c>
      <c r="R21">
        <v>11.63</v>
      </c>
      <c r="S21">
        <v>19.2</v>
      </c>
      <c r="T21">
        <v>21.74</v>
      </c>
      <c r="U21">
        <v>19.510000000000002</v>
      </c>
      <c r="V21">
        <v>3.09</v>
      </c>
      <c r="W21">
        <v>6.13</v>
      </c>
      <c r="X21">
        <v>4.7300000000000004</v>
      </c>
      <c r="Y21">
        <v>3.85</v>
      </c>
      <c r="Z21">
        <v>0</v>
      </c>
      <c r="AA21">
        <v>10.95</v>
      </c>
      <c r="AB21">
        <v>11.07</v>
      </c>
      <c r="AC21">
        <v>18.91</v>
      </c>
      <c r="AD21">
        <v>20.079999999999998</v>
      </c>
      <c r="AE21">
        <v>40.06</v>
      </c>
      <c r="AF21">
        <v>40.549999999999997</v>
      </c>
      <c r="AG21">
        <v>45.93</v>
      </c>
      <c r="AH21">
        <v>45.35</v>
      </c>
      <c r="AI21">
        <v>29.22</v>
      </c>
      <c r="AJ21">
        <v>31.16</v>
      </c>
      <c r="AK21">
        <v>38.08</v>
      </c>
      <c r="AL21">
        <v>37.119999999999997</v>
      </c>
      <c r="AM21">
        <v>39.11</v>
      </c>
      <c r="AN21">
        <v>32.51</v>
      </c>
      <c r="AO21">
        <v>38.49</v>
      </c>
      <c r="AP21">
        <v>13.57</v>
      </c>
      <c r="AQ21">
        <v>9.32</v>
      </c>
      <c r="AR21">
        <v>13.93</v>
      </c>
      <c r="AS21">
        <v>8.6</v>
      </c>
      <c r="AT21">
        <v>14.8</v>
      </c>
      <c r="AU21">
        <v>13.25</v>
      </c>
      <c r="AV21">
        <v>1.26</v>
      </c>
      <c r="AW21">
        <v>11.83</v>
      </c>
      <c r="AX21">
        <v>17.920000000000002</v>
      </c>
      <c r="AY21">
        <v>6.4</v>
      </c>
      <c r="AZ21">
        <v>6.07</v>
      </c>
      <c r="BA21">
        <v>37.909999999999997</v>
      </c>
    </row>
    <row r="22" spans="1:53" x14ac:dyDescent="0.25">
      <c r="A22" s="2" t="s">
        <v>17</v>
      </c>
      <c r="B22" s="2">
        <v>23</v>
      </c>
      <c r="C22" s="2" t="s">
        <v>4</v>
      </c>
      <c r="D22" s="2" t="s">
        <v>45</v>
      </c>
      <c r="E22" s="2">
        <v>-29.945</v>
      </c>
      <c r="F22" s="2">
        <v>-51.101999999999997</v>
      </c>
      <c r="G22">
        <v>15.29</v>
      </c>
      <c r="H22">
        <v>8.35</v>
      </c>
      <c r="I22">
        <v>29.09</v>
      </c>
      <c r="J22">
        <v>20.87</v>
      </c>
      <c r="K22">
        <v>9.6300000000000008</v>
      </c>
      <c r="L22">
        <v>28.39</v>
      </c>
      <c r="M22">
        <v>9.16</v>
      </c>
      <c r="N22">
        <v>35.22</v>
      </c>
      <c r="O22">
        <v>7.95</v>
      </c>
      <c r="P22">
        <v>6.46</v>
      </c>
      <c r="Q22">
        <v>21.02</v>
      </c>
      <c r="R22">
        <v>7.72</v>
      </c>
      <c r="S22">
        <v>12.63</v>
      </c>
      <c r="T22">
        <v>13.32</v>
      </c>
      <c r="U22">
        <v>12.73</v>
      </c>
      <c r="V22">
        <v>13.95</v>
      </c>
      <c r="W22">
        <v>15.45</v>
      </c>
      <c r="X22">
        <v>13.91</v>
      </c>
      <c r="Y22">
        <v>13.36</v>
      </c>
      <c r="Z22">
        <v>10.95</v>
      </c>
      <c r="AA22">
        <v>0</v>
      </c>
      <c r="AB22">
        <v>0.75</v>
      </c>
      <c r="AC22">
        <v>10.32</v>
      </c>
      <c r="AD22">
        <v>11.57</v>
      </c>
      <c r="AE22">
        <v>29.94</v>
      </c>
      <c r="AF22">
        <v>30.36</v>
      </c>
      <c r="AG22">
        <v>35.43</v>
      </c>
      <c r="AH22">
        <v>34.880000000000003</v>
      </c>
      <c r="AI22">
        <v>20.38</v>
      </c>
      <c r="AJ22">
        <v>22.14</v>
      </c>
      <c r="AK22">
        <v>28.91</v>
      </c>
      <c r="AL22">
        <v>27.89</v>
      </c>
      <c r="AM22">
        <v>29.72</v>
      </c>
      <c r="AN22">
        <v>23.79</v>
      </c>
      <c r="AO22">
        <v>29.39</v>
      </c>
      <c r="AP22">
        <v>7.53</v>
      </c>
      <c r="AQ22">
        <v>8</v>
      </c>
      <c r="AR22">
        <v>7</v>
      </c>
      <c r="AS22">
        <v>14.47</v>
      </c>
      <c r="AT22">
        <v>16.940000000000001</v>
      </c>
      <c r="AU22">
        <v>7.9</v>
      </c>
      <c r="AV22">
        <v>11.85</v>
      </c>
      <c r="AW22">
        <v>8.0500000000000007</v>
      </c>
      <c r="AX22">
        <v>28.32</v>
      </c>
      <c r="AY22">
        <v>15.55</v>
      </c>
      <c r="AZ22">
        <v>17</v>
      </c>
      <c r="BA22">
        <v>28.76</v>
      </c>
    </row>
    <row r="23" spans="1:53" x14ac:dyDescent="0.25">
      <c r="A23" s="2" t="s">
        <v>17</v>
      </c>
      <c r="B23" s="2">
        <v>24</v>
      </c>
      <c r="C23" s="2" t="s">
        <v>4</v>
      </c>
      <c r="D23" s="2" t="s">
        <v>46</v>
      </c>
      <c r="E23" s="2">
        <v>-29.948</v>
      </c>
      <c r="F23" s="2">
        <v>-51.094999999999999</v>
      </c>
      <c r="G23">
        <v>15.41</v>
      </c>
      <c r="H23">
        <v>9.1</v>
      </c>
      <c r="I23">
        <v>29.5</v>
      </c>
      <c r="J23">
        <v>21.34</v>
      </c>
      <c r="K23">
        <v>8.99</v>
      </c>
      <c r="L23">
        <v>28.69</v>
      </c>
      <c r="M23">
        <v>9.34</v>
      </c>
      <c r="N23">
        <v>35.380000000000003</v>
      </c>
      <c r="O23">
        <v>8.6999999999999993</v>
      </c>
      <c r="P23">
        <v>7.18</v>
      </c>
      <c r="Q23">
        <v>21.5</v>
      </c>
      <c r="R23">
        <v>8.4700000000000006</v>
      </c>
      <c r="S23">
        <v>13.31</v>
      </c>
      <c r="T23">
        <v>13.87</v>
      </c>
      <c r="U23">
        <v>13.4</v>
      </c>
      <c r="V23">
        <v>14.02</v>
      </c>
      <c r="W23">
        <v>15.79</v>
      </c>
      <c r="X23">
        <v>14.24</v>
      </c>
      <c r="Y23">
        <v>13.66</v>
      </c>
      <c r="Z23">
        <v>11.07</v>
      </c>
      <c r="AA23">
        <v>0.75</v>
      </c>
      <c r="AB23">
        <v>0</v>
      </c>
      <c r="AC23">
        <v>9.66</v>
      </c>
      <c r="AD23">
        <v>10.92</v>
      </c>
      <c r="AE23">
        <v>30.19</v>
      </c>
      <c r="AF23">
        <v>30.6</v>
      </c>
      <c r="AG23">
        <v>35.590000000000003</v>
      </c>
      <c r="AH23">
        <v>35.049999999999997</v>
      </c>
      <c r="AI23">
        <v>20.85</v>
      </c>
      <c r="AJ23">
        <v>22.57</v>
      </c>
      <c r="AK23">
        <v>29.31</v>
      </c>
      <c r="AL23">
        <v>28.28</v>
      </c>
      <c r="AM23">
        <v>30.08</v>
      </c>
      <c r="AN23">
        <v>24.25</v>
      </c>
      <c r="AO23">
        <v>29.79</v>
      </c>
      <c r="AP23">
        <v>8.27</v>
      </c>
      <c r="AQ23">
        <v>8.68</v>
      </c>
      <c r="AR23">
        <v>7.72</v>
      </c>
      <c r="AS23">
        <v>14.12</v>
      </c>
      <c r="AT23">
        <v>16.350000000000001</v>
      </c>
      <c r="AU23">
        <v>8.65</v>
      </c>
      <c r="AV23">
        <v>11.91</v>
      </c>
      <c r="AW23">
        <v>8.8000000000000007</v>
      </c>
      <c r="AX23">
        <v>28.6</v>
      </c>
      <c r="AY23">
        <v>15.9</v>
      </c>
      <c r="AZ23">
        <v>17.09</v>
      </c>
      <c r="BA23">
        <v>29.16</v>
      </c>
    </row>
    <row r="24" spans="1:53" x14ac:dyDescent="0.25">
      <c r="A24" s="2" t="s">
        <v>14</v>
      </c>
      <c r="B24" s="2">
        <v>25</v>
      </c>
      <c r="C24" s="2" t="s">
        <v>27</v>
      </c>
      <c r="D24" s="2" t="s">
        <v>47</v>
      </c>
      <c r="E24" s="2">
        <v>-29.942</v>
      </c>
      <c r="F24" s="2">
        <v>-50.994999999999997</v>
      </c>
      <c r="G24">
        <v>22.9</v>
      </c>
      <c r="H24">
        <v>18.329999999999998</v>
      </c>
      <c r="I24">
        <v>31.46</v>
      </c>
      <c r="J24">
        <v>24.81</v>
      </c>
      <c r="K24">
        <v>0.77</v>
      </c>
      <c r="L24">
        <v>36.979999999999997</v>
      </c>
      <c r="M24">
        <v>17.62</v>
      </c>
      <c r="N24">
        <v>33.82</v>
      </c>
      <c r="O24">
        <v>17.940000000000001</v>
      </c>
      <c r="P24">
        <v>16.690000000000001</v>
      </c>
      <c r="Q24">
        <v>25.01</v>
      </c>
      <c r="R24">
        <v>17.760000000000002</v>
      </c>
      <c r="S24">
        <v>20.46</v>
      </c>
      <c r="T24">
        <v>19.16</v>
      </c>
      <c r="U24">
        <v>20.37</v>
      </c>
      <c r="V24">
        <v>21.3</v>
      </c>
      <c r="W24">
        <v>24.55</v>
      </c>
      <c r="X24">
        <v>22.98</v>
      </c>
      <c r="Y24">
        <v>22.26</v>
      </c>
      <c r="Z24">
        <v>18.91</v>
      </c>
      <c r="AA24">
        <v>10.32</v>
      </c>
      <c r="AB24">
        <v>9.66</v>
      </c>
      <c r="AC24">
        <v>0</v>
      </c>
      <c r="AD24">
        <v>1.26</v>
      </c>
      <c r="AE24">
        <v>30.06</v>
      </c>
      <c r="AF24">
        <v>30.25</v>
      </c>
      <c r="AG24">
        <v>33.94</v>
      </c>
      <c r="AH24">
        <v>33.58</v>
      </c>
      <c r="AI24">
        <v>24.26</v>
      </c>
      <c r="AJ24">
        <v>25.45</v>
      </c>
      <c r="AK24">
        <v>31.22</v>
      </c>
      <c r="AL24">
        <v>30.19</v>
      </c>
      <c r="AM24">
        <v>31.56</v>
      </c>
      <c r="AN24">
        <v>27.39</v>
      </c>
      <c r="AO24">
        <v>31.79</v>
      </c>
      <c r="AP24">
        <v>16.89</v>
      </c>
      <c r="AQ24">
        <v>18.309999999999999</v>
      </c>
      <c r="AR24">
        <v>16.05</v>
      </c>
      <c r="AS24">
        <v>17.649999999999999</v>
      </c>
      <c r="AT24">
        <v>15.83</v>
      </c>
      <c r="AU24">
        <v>17.47</v>
      </c>
      <c r="AV24">
        <v>19.3</v>
      </c>
      <c r="AW24">
        <v>18.07</v>
      </c>
      <c r="AX24">
        <v>36.81</v>
      </c>
      <c r="AY24">
        <v>24.73</v>
      </c>
      <c r="AZ24">
        <v>24.28</v>
      </c>
      <c r="BA24">
        <v>31.13</v>
      </c>
    </row>
    <row r="25" spans="1:53" x14ac:dyDescent="0.25">
      <c r="A25" s="2" t="s">
        <v>15</v>
      </c>
      <c r="B25" s="2">
        <v>26</v>
      </c>
      <c r="C25" s="2" t="s">
        <v>27</v>
      </c>
      <c r="D25" s="2" t="s">
        <v>48</v>
      </c>
      <c r="E25" s="2">
        <v>-29.9405</v>
      </c>
      <c r="F25" s="2">
        <v>-50.981999999999999</v>
      </c>
      <c r="G25">
        <v>24.03</v>
      </c>
      <c r="H25">
        <v>19.55</v>
      </c>
      <c r="I25">
        <v>31.86</v>
      </c>
      <c r="J25">
        <v>25.44</v>
      </c>
      <c r="K25">
        <v>1.96</v>
      </c>
      <c r="L25">
        <v>38.15</v>
      </c>
      <c r="M25">
        <v>18.82</v>
      </c>
      <c r="N25">
        <v>33.729999999999997</v>
      </c>
      <c r="O25">
        <v>19.16</v>
      </c>
      <c r="P25">
        <v>17.93</v>
      </c>
      <c r="Q25">
        <v>25.63</v>
      </c>
      <c r="R25">
        <v>18.989999999999998</v>
      </c>
      <c r="S25">
        <v>21.5</v>
      </c>
      <c r="T25">
        <v>20.04</v>
      </c>
      <c r="U25">
        <v>21.39</v>
      </c>
      <c r="V25">
        <v>22.42</v>
      </c>
      <c r="W25">
        <v>25.76</v>
      </c>
      <c r="X25">
        <v>24.2</v>
      </c>
      <c r="Y25">
        <v>23.47</v>
      </c>
      <c r="Z25">
        <v>20.079999999999998</v>
      </c>
      <c r="AA25">
        <v>11.57</v>
      </c>
      <c r="AB25">
        <v>10.92</v>
      </c>
      <c r="AC25">
        <v>1.26</v>
      </c>
      <c r="AD25">
        <v>0</v>
      </c>
      <c r="AE25">
        <v>30.19</v>
      </c>
      <c r="AF25">
        <v>30.35</v>
      </c>
      <c r="AG25">
        <v>33.840000000000003</v>
      </c>
      <c r="AH25">
        <v>33.51</v>
      </c>
      <c r="AI25">
        <v>24.88</v>
      </c>
      <c r="AJ25">
        <v>26</v>
      </c>
      <c r="AK25">
        <v>31.61</v>
      </c>
      <c r="AL25">
        <v>30.59</v>
      </c>
      <c r="AM25">
        <v>31.88</v>
      </c>
      <c r="AN25">
        <v>27.96</v>
      </c>
      <c r="AO25">
        <v>32.18</v>
      </c>
      <c r="AP25">
        <v>18.07</v>
      </c>
      <c r="AQ25">
        <v>19.57</v>
      </c>
      <c r="AR25">
        <v>17.21</v>
      </c>
      <c r="AS25">
        <v>18.489999999999998</v>
      </c>
      <c r="AT25">
        <v>16.27</v>
      </c>
      <c r="AU25">
        <v>18.66</v>
      </c>
      <c r="AV25">
        <v>20.45</v>
      </c>
      <c r="AW25">
        <v>19.29</v>
      </c>
      <c r="AX25">
        <v>37.97</v>
      </c>
      <c r="AY25">
        <v>25.95</v>
      </c>
      <c r="AZ25">
        <v>25.38</v>
      </c>
      <c r="BA25">
        <v>31.53</v>
      </c>
    </row>
    <row r="26" spans="1:53" x14ac:dyDescent="0.25">
      <c r="A26" s="2" t="s">
        <v>17</v>
      </c>
      <c r="B26" s="2">
        <v>27</v>
      </c>
      <c r="C26" s="2" t="s">
        <v>2</v>
      </c>
      <c r="D26" s="2" t="s">
        <v>49</v>
      </c>
      <c r="E26" s="2">
        <v>-29.678000000000001</v>
      </c>
      <c r="F26" s="2">
        <v>-51.061999999999998</v>
      </c>
      <c r="G26">
        <v>44.16</v>
      </c>
      <c r="H26">
        <v>29.27</v>
      </c>
      <c r="I26">
        <v>6.63</v>
      </c>
      <c r="J26">
        <v>12.29</v>
      </c>
      <c r="K26">
        <v>29.61</v>
      </c>
      <c r="L26">
        <v>54.49</v>
      </c>
      <c r="M26">
        <v>38.130000000000003</v>
      </c>
      <c r="N26">
        <v>6.61</v>
      </c>
      <c r="O26">
        <v>29.25</v>
      </c>
      <c r="P26">
        <v>30.35</v>
      </c>
      <c r="Q26">
        <v>12.31</v>
      </c>
      <c r="R26">
        <v>29.45</v>
      </c>
      <c r="S26">
        <v>22.84</v>
      </c>
      <c r="T26">
        <v>19.03</v>
      </c>
      <c r="U26">
        <v>22.4</v>
      </c>
      <c r="V26">
        <v>43.15</v>
      </c>
      <c r="W26">
        <v>42.36</v>
      </c>
      <c r="X26">
        <v>41.17</v>
      </c>
      <c r="Y26">
        <v>41.03</v>
      </c>
      <c r="Z26">
        <v>40.06</v>
      </c>
      <c r="AA26">
        <v>29.94</v>
      </c>
      <c r="AB26">
        <v>30.19</v>
      </c>
      <c r="AC26">
        <v>30.06</v>
      </c>
      <c r="AD26">
        <v>30.19</v>
      </c>
      <c r="AE26">
        <v>0</v>
      </c>
      <c r="AF26">
        <v>0.75</v>
      </c>
      <c r="AG26">
        <v>6.93</v>
      </c>
      <c r="AH26">
        <v>6.17</v>
      </c>
      <c r="AI26">
        <v>12.38</v>
      </c>
      <c r="AJ26">
        <v>10.5</v>
      </c>
      <c r="AK26">
        <v>6.44</v>
      </c>
      <c r="AL26">
        <v>6.37</v>
      </c>
      <c r="AM26">
        <v>5.12</v>
      </c>
      <c r="AN26">
        <v>10.52</v>
      </c>
      <c r="AO26">
        <v>6.78</v>
      </c>
      <c r="AP26">
        <v>27.13</v>
      </c>
      <c r="AQ26">
        <v>31.97</v>
      </c>
      <c r="AR26">
        <v>26.48</v>
      </c>
      <c r="AS26">
        <v>44.26</v>
      </c>
      <c r="AT26">
        <v>45.06</v>
      </c>
      <c r="AU26">
        <v>27.69</v>
      </c>
      <c r="AV26">
        <v>41.18</v>
      </c>
      <c r="AW26">
        <v>29.41</v>
      </c>
      <c r="AX26">
        <v>54.63</v>
      </c>
      <c r="AY26">
        <v>42.26</v>
      </c>
      <c r="AZ26">
        <v>45.97</v>
      </c>
      <c r="BA26">
        <v>6.61</v>
      </c>
    </row>
    <row r="27" spans="1:53" x14ac:dyDescent="0.25">
      <c r="A27" s="2" t="s">
        <v>14</v>
      </c>
      <c r="B27" s="2">
        <v>29</v>
      </c>
      <c r="C27" s="2" t="s">
        <v>2</v>
      </c>
      <c r="D27" s="2" t="s">
        <v>50</v>
      </c>
      <c r="E27" s="2">
        <v>-29.675000000000001</v>
      </c>
      <c r="F27" s="2">
        <v>-51.055</v>
      </c>
      <c r="G27">
        <v>44.67</v>
      </c>
      <c r="H27">
        <v>29.85</v>
      </c>
      <c r="I27">
        <v>7.34</v>
      </c>
      <c r="J27">
        <v>12.99</v>
      </c>
      <c r="K27">
        <v>29.81</v>
      </c>
      <c r="L27">
        <v>55.1</v>
      </c>
      <c r="M27">
        <v>38.630000000000003</v>
      </c>
      <c r="N27">
        <v>5.89</v>
      </c>
      <c r="O27">
        <v>29.82</v>
      </c>
      <c r="P27">
        <v>30.9</v>
      </c>
      <c r="Q27">
        <v>13.01</v>
      </c>
      <c r="R27">
        <v>30.02</v>
      </c>
      <c r="S27">
        <v>23.47</v>
      </c>
      <c r="T27">
        <v>19.63</v>
      </c>
      <c r="U27">
        <v>23.04</v>
      </c>
      <c r="V27">
        <v>43.64</v>
      </c>
      <c r="W27">
        <v>42.93</v>
      </c>
      <c r="X27">
        <v>41.73</v>
      </c>
      <c r="Y27">
        <v>41.57</v>
      </c>
      <c r="Z27">
        <v>40.549999999999997</v>
      </c>
      <c r="AA27">
        <v>30.36</v>
      </c>
      <c r="AB27">
        <v>30.6</v>
      </c>
      <c r="AC27">
        <v>30.25</v>
      </c>
      <c r="AD27">
        <v>30.35</v>
      </c>
      <c r="AE27">
        <v>0.75</v>
      </c>
      <c r="AF27">
        <v>0</v>
      </c>
      <c r="AG27">
        <v>6.2</v>
      </c>
      <c r="AH27">
        <v>5.45</v>
      </c>
      <c r="AI27">
        <v>13.07</v>
      </c>
      <c r="AJ27">
        <v>11.21</v>
      </c>
      <c r="AK27">
        <v>7.16</v>
      </c>
      <c r="AL27">
        <v>7.12</v>
      </c>
      <c r="AM27">
        <v>5.81</v>
      </c>
      <c r="AN27">
        <v>11.27</v>
      </c>
      <c r="AO27">
        <v>7.48</v>
      </c>
      <c r="AP27">
        <v>27.69</v>
      </c>
      <c r="AQ27">
        <v>32.54</v>
      </c>
      <c r="AR27">
        <v>27.02</v>
      </c>
      <c r="AS27">
        <v>44.64</v>
      </c>
      <c r="AT27">
        <v>45.35</v>
      </c>
      <c r="AU27">
        <v>28.26</v>
      </c>
      <c r="AV27">
        <v>41.66</v>
      </c>
      <c r="AW27">
        <v>29.99</v>
      </c>
      <c r="AX27">
        <v>55.24</v>
      </c>
      <c r="AY27">
        <v>42.83</v>
      </c>
      <c r="AZ27">
        <v>46.48</v>
      </c>
      <c r="BA27">
        <v>7.33</v>
      </c>
    </row>
    <row r="28" spans="1:53" x14ac:dyDescent="0.25">
      <c r="A28" s="2" t="s">
        <v>16</v>
      </c>
      <c r="B28" s="2">
        <v>30</v>
      </c>
      <c r="C28" s="2" t="s">
        <v>5</v>
      </c>
      <c r="D28" s="2" t="s">
        <v>51</v>
      </c>
      <c r="E28" s="2">
        <v>-29.637</v>
      </c>
      <c r="F28" s="2">
        <v>-51.008000000000003</v>
      </c>
      <c r="G28">
        <v>50.14</v>
      </c>
      <c r="H28">
        <v>35.65</v>
      </c>
      <c r="I28">
        <v>12.94</v>
      </c>
      <c r="J28">
        <v>19.18</v>
      </c>
      <c r="K28">
        <v>33.61</v>
      </c>
      <c r="L28">
        <v>61</v>
      </c>
      <c r="M28">
        <v>44.02</v>
      </c>
      <c r="N28">
        <v>0.34</v>
      </c>
      <c r="O28">
        <v>35.6</v>
      </c>
      <c r="P28">
        <v>36.56</v>
      </c>
      <c r="Q28">
        <v>19.21</v>
      </c>
      <c r="R28">
        <v>35.78</v>
      </c>
      <c r="S28">
        <v>29.49</v>
      </c>
      <c r="T28">
        <v>25.55</v>
      </c>
      <c r="U28">
        <v>29.05</v>
      </c>
      <c r="V28">
        <v>49.03</v>
      </c>
      <c r="W28">
        <v>48.65</v>
      </c>
      <c r="X28">
        <v>47.4</v>
      </c>
      <c r="Y28">
        <v>47.19</v>
      </c>
      <c r="Z28">
        <v>45.93</v>
      </c>
      <c r="AA28">
        <v>35.43</v>
      </c>
      <c r="AB28">
        <v>35.590000000000003</v>
      </c>
      <c r="AC28">
        <v>33.94</v>
      </c>
      <c r="AD28">
        <v>33.840000000000003</v>
      </c>
      <c r="AE28">
        <v>6.93</v>
      </c>
      <c r="AF28">
        <v>6.2</v>
      </c>
      <c r="AG28">
        <v>0</v>
      </c>
      <c r="AH28">
        <v>0.78</v>
      </c>
      <c r="AI28">
        <v>19.239999999999998</v>
      </c>
      <c r="AJ28">
        <v>17.399999999999999</v>
      </c>
      <c r="AK28">
        <v>12.81</v>
      </c>
      <c r="AL28">
        <v>13.01</v>
      </c>
      <c r="AM28">
        <v>11.3</v>
      </c>
      <c r="AN28">
        <v>17.440000000000001</v>
      </c>
      <c r="AO28">
        <v>12.98</v>
      </c>
      <c r="AP28">
        <v>33.43</v>
      </c>
      <c r="AQ28">
        <v>38.270000000000003</v>
      </c>
      <c r="AR28">
        <v>32.700000000000003</v>
      </c>
      <c r="AS28">
        <v>49.42</v>
      </c>
      <c r="AT28">
        <v>49.51</v>
      </c>
      <c r="AU28">
        <v>34.04</v>
      </c>
      <c r="AV28">
        <v>47</v>
      </c>
      <c r="AW28">
        <v>35.770000000000003</v>
      </c>
      <c r="AX28">
        <v>61.12</v>
      </c>
      <c r="AY28">
        <v>48.58</v>
      </c>
      <c r="AZ28">
        <v>51.93</v>
      </c>
      <c r="BA28">
        <v>13.01</v>
      </c>
    </row>
    <row r="29" spans="1:53" x14ac:dyDescent="0.25">
      <c r="A29" s="2" t="s">
        <v>15</v>
      </c>
      <c r="B29" s="2">
        <v>31</v>
      </c>
      <c r="C29" s="2" t="s">
        <v>5</v>
      </c>
      <c r="D29" s="2" t="s">
        <v>52</v>
      </c>
      <c r="E29" s="2">
        <v>-29.640499999999999</v>
      </c>
      <c r="F29" s="2">
        <v>-51.015000000000001</v>
      </c>
      <c r="G29">
        <v>49.54</v>
      </c>
      <c r="H29">
        <v>34.99</v>
      </c>
      <c r="I29">
        <v>12.16</v>
      </c>
      <c r="J29">
        <v>18.43</v>
      </c>
      <c r="K29">
        <v>33.24</v>
      </c>
      <c r="L29">
        <v>60.33</v>
      </c>
      <c r="M29">
        <v>43.43</v>
      </c>
      <c r="N29">
        <v>0.45</v>
      </c>
      <c r="O29">
        <v>34.950000000000003</v>
      </c>
      <c r="P29">
        <v>35.92</v>
      </c>
      <c r="Q29">
        <v>18.46</v>
      </c>
      <c r="R29">
        <v>35.130000000000003</v>
      </c>
      <c r="S29">
        <v>28.79</v>
      </c>
      <c r="T29">
        <v>24.87</v>
      </c>
      <c r="U29">
        <v>28.35</v>
      </c>
      <c r="V29">
        <v>48.44</v>
      </c>
      <c r="W29">
        <v>48.01</v>
      </c>
      <c r="X29">
        <v>46.76</v>
      </c>
      <c r="Y29">
        <v>46.57</v>
      </c>
      <c r="Z29">
        <v>45.35</v>
      </c>
      <c r="AA29">
        <v>34.880000000000003</v>
      </c>
      <c r="AB29">
        <v>35.049999999999997</v>
      </c>
      <c r="AC29">
        <v>33.58</v>
      </c>
      <c r="AD29">
        <v>33.51</v>
      </c>
      <c r="AE29">
        <v>6.17</v>
      </c>
      <c r="AF29">
        <v>5.45</v>
      </c>
      <c r="AG29">
        <v>0.78</v>
      </c>
      <c r="AH29">
        <v>0</v>
      </c>
      <c r="AI29">
        <v>18.5</v>
      </c>
      <c r="AJ29">
        <v>16.649999999999999</v>
      </c>
      <c r="AK29">
        <v>12.03</v>
      </c>
      <c r="AL29">
        <v>12.23</v>
      </c>
      <c r="AM29">
        <v>10.52</v>
      </c>
      <c r="AN29">
        <v>16.670000000000002</v>
      </c>
      <c r="AO29">
        <v>12.21</v>
      </c>
      <c r="AP29">
        <v>32.78</v>
      </c>
      <c r="AQ29">
        <v>37.619999999999997</v>
      </c>
      <c r="AR29">
        <v>32.06</v>
      </c>
      <c r="AS29">
        <v>48.93</v>
      </c>
      <c r="AT29">
        <v>49.1</v>
      </c>
      <c r="AU29">
        <v>33.380000000000003</v>
      </c>
      <c r="AV29">
        <v>46.42</v>
      </c>
      <c r="AW29">
        <v>35.11</v>
      </c>
      <c r="AX29">
        <v>60.45</v>
      </c>
      <c r="AY29">
        <v>47.93</v>
      </c>
      <c r="AZ29">
        <v>51.34</v>
      </c>
      <c r="BA29">
        <v>12.24</v>
      </c>
    </row>
    <row r="30" spans="1:53" x14ac:dyDescent="0.25">
      <c r="A30" s="2" t="s">
        <v>16</v>
      </c>
      <c r="B30" s="2">
        <v>32</v>
      </c>
      <c r="C30" s="2" t="s">
        <v>25</v>
      </c>
      <c r="D30" s="2" t="s">
        <v>53</v>
      </c>
      <c r="E30" s="2">
        <v>-29.765000000000001</v>
      </c>
      <c r="F30" s="2">
        <v>-51.142000000000003</v>
      </c>
      <c r="G30">
        <v>33.049999999999997</v>
      </c>
      <c r="H30">
        <v>17.61</v>
      </c>
      <c r="I30">
        <v>9.02</v>
      </c>
      <c r="J30">
        <v>0.56000000000000005</v>
      </c>
      <c r="K30">
        <v>23.59</v>
      </c>
      <c r="L30">
        <v>42.39</v>
      </c>
      <c r="M30">
        <v>27.32</v>
      </c>
      <c r="N30">
        <v>18.93</v>
      </c>
      <c r="O30">
        <v>17.670000000000002</v>
      </c>
      <c r="P30">
        <v>19.07</v>
      </c>
      <c r="Q30">
        <v>0.76</v>
      </c>
      <c r="R30">
        <v>17.91</v>
      </c>
      <c r="S30">
        <v>10.73</v>
      </c>
      <c r="T30">
        <v>7.47</v>
      </c>
      <c r="U30">
        <v>10.31</v>
      </c>
      <c r="V30">
        <v>32.24</v>
      </c>
      <c r="W30">
        <v>30.68</v>
      </c>
      <c r="X30">
        <v>29.62</v>
      </c>
      <c r="Y30">
        <v>29.6</v>
      </c>
      <c r="Z30">
        <v>29.22</v>
      </c>
      <c r="AA30">
        <v>20.38</v>
      </c>
      <c r="AB30">
        <v>20.85</v>
      </c>
      <c r="AC30">
        <v>24.26</v>
      </c>
      <c r="AD30">
        <v>24.88</v>
      </c>
      <c r="AE30">
        <v>12.38</v>
      </c>
      <c r="AF30">
        <v>13.07</v>
      </c>
      <c r="AG30">
        <v>19.239999999999998</v>
      </c>
      <c r="AH30">
        <v>18.5</v>
      </c>
      <c r="AI30">
        <v>0</v>
      </c>
      <c r="AJ30">
        <v>2.0099999999999998</v>
      </c>
      <c r="AK30">
        <v>8.89</v>
      </c>
      <c r="AL30">
        <v>7.95</v>
      </c>
      <c r="AM30">
        <v>10.02</v>
      </c>
      <c r="AN30">
        <v>3.4</v>
      </c>
      <c r="AO30">
        <v>9.2799999999999994</v>
      </c>
      <c r="AP30">
        <v>15.72</v>
      </c>
      <c r="AQ30">
        <v>20.440000000000001</v>
      </c>
      <c r="AR30">
        <v>15.29</v>
      </c>
      <c r="AS30">
        <v>34.770000000000003</v>
      </c>
      <c r="AT30">
        <v>37.01</v>
      </c>
      <c r="AU30">
        <v>16.16</v>
      </c>
      <c r="AV30">
        <v>30.42</v>
      </c>
      <c r="AW30">
        <v>17.8</v>
      </c>
      <c r="AX30">
        <v>42.57</v>
      </c>
      <c r="AY30">
        <v>30.54</v>
      </c>
      <c r="AZ30">
        <v>34.85</v>
      </c>
      <c r="BA30">
        <v>8.6999999999999993</v>
      </c>
    </row>
    <row r="31" spans="1:53" x14ac:dyDescent="0.25">
      <c r="A31" s="2" t="s">
        <v>16</v>
      </c>
      <c r="B31" s="2">
        <v>33</v>
      </c>
      <c r="C31" s="2" t="s">
        <v>25</v>
      </c>
      <c r="D31" s="2" t="s">
        <v>54</v>
      </c>
      <c r="E31" s="2">
        <v>-29.748000000000001</v>
      </c>
      <c r="F31" s="2">
        <v>-51.134999999999998</v>
      </c>
      <c r="G31">
        <v>35.01</v>
      </c>
      <c r="H31">
        <v>19.600000000000001</v>
      </c>
      <c r="I31">
        <v>7.08</v>
      </c>
      <c r="J31">
        <v>1.8</v>
      </c>
      <c r="K31">
        <v>24.82</v>
      </c>
      <c r="L31">
        <v>44.39</v>
      </c>
      <c r="M31">
        <v>29.26</v>
      </c>
      <c r="N31">
        <v>17.09</v>
      </c>
      <c r="O31">
        <v>19.66</v>
      </c>
      <c r="P31">
        <v>21.04</v>
      </c>
      <c r="Q31">
        <v>1.81</v>
      </c>
      <c r="R31">
        <v>19.899999999999999</v>
      </c>
      <c r="S31">
        <v>12.73</v>
      </c>
      <c r="T31">
        <v>9.42</v>
      </c>
      <c r="U31">
        <v>12.32</v>
      </c>
      <c r="V31">
        <v>34.19</v>
      </c>
      <c r="W31">
        <v>32.68</v>
      </c>
      <c r="X31">
        <v>31.62</v>
      </c>
      <c r="Y31">
        <v>31.59</v>
      </c>
      <c r="Z31">
        <v>31.16</v>
      </c>
      <c r="AA31">
        <v>22.14</v>
      </c>
      <c r="AB31">
        <v>22.57</v>
      </c>
      <c r="AC31">
        <v>25.45</v>
      </c>
      <c r="AD31">
        <v>26</v>
      </c>
      <c r="AE31">
        <v>10.5</v>
      </c>
      <c r="AF31">
        <v>11.21</v>
      </c>
      <c r="AG31">
        <v>17.399999999999999</v>
      </c>
      <c r="AH31">
        <v>16.649999999999999</v>
      </c>
      <c r="AI31">
        <v>2.0099999999999998</v>
      </c>
      <c r="AJ31">
        <v>0</v>
      </c>
      <c r="AK31">
        <v>6.93</v>
      </c>
      <c r="AL31">
        <v>5.97</v>
      </c>
      <c r="AM31">
        <v>8.02</v>
      </c>
      <c r="AN31">
        <v>1.98</v>
      </c>
      <c r="AO31">
        <v>7.34</v>
      </c>
      <c r="AP31">
        <v>17.7</v>
      </c>
      <c r="AQ31">
        <v>22.43</v>
      </c>
      <c r="AR31">
        <v>17.23</v>
      </c>
      <c r="AS31">
        <v>36.56</v>
      </c>
      <c r="AT31">
        <v>38.619999999999997</v>
      </c>
      <c r="AU31">
        <v>18.149999999999999</v>
      </c>
      <c r="AV31">
        <v>32.35</v>
      </c>
      <c r="AW31">
        <v>19.8</v>
      </c>
      <c r="AX31">
        <v>44.57</v>
      </c>
      <c r="AY31">
        <v>32.549999999999997</v>
      </c>
      <c r="AZ31">
        <v>36.82</v>
      </c>
      <c r="BA31">
        <v>6.75</v>
      </c>
    </row>
    <row r="32" spans="1:53" x14ac:dyDescent="0.25">
      <c r="A32" s="2" t="s">
        <v>13</v>
      </c>
      <c r="B32" s="2">
        <v>34</v>
      </c>
      <c r="C32" s="2" t="s">
        <v>3</v>
      </c>
      <c r="D32" s="2" t="s">
        <v>55</v>
      </c>
      <c r="E32" s="2">
        <v>-29.686</v>
      </c>
      <c r="F32" s="2">
        <v>-51.128</v>
      </c>
      <c r="G32">
        <v>41.93</v>
      </c>
      <c r="H32">
        <v>26.48</v>
      </c>
      <c r="I32">
        <v>0.27</v>
      </c>
      <c r="J32">
        <v>8.5399999999999991</v>
      </c>
      <c r="K32">
        <v>30.66</v>
      </c>
      <c r="L32">
        <v>51</v>
      </c>
      <c r="M32">
        <v>36.18</v>
      </c>
      <c r="N32">
        <v>12.47</v>
      </c>
      <c r="O32">
        <v>26.54</v>
      </c>
      <c r="P32">
        <v>27.96</v>
      </c>
      <c r="Q32">
        <v>8.4499999999999993</v>
      </c>
      <c r="R32">
        <v>26.79</v>
      </c>
      <c r="S32">
        <v>19.5</v>
      </c>
      <c r="T32">
        <v>16.350000000000001</v>
      </c>
      <c r="U32">
        <v>19.100000000000001</v>
      </c>
      <c r="V32">
        <v>41.11</v>
      </c>
      <c r="W32">
        <v>39.51</v>
      </c>
      <c r="X32">
        <v>38.49</v>
      </c>
      <c r="Y32">
        <v>38.47</v>
      </c>
      <c r="Z32">
        <v>38.08</v>
      </c>
      <c r="AA32">
        <v>28.91</v>
      </c>
      <c r="AB32">
        <v>29.31</v>
      </c>
      <c r="AC32">
        <v>31.22</v>
      </c>
      <c r="AD32">
        <v>31.61</v>
      </c>
      <c r="AE32">
        <v>6.44</v>
      </c>
      <c r="AF32">
        <v>7.16</v>
      </c>
      <c r="AG32">
        <v>12.81</v>
      </c>
      <c r="AH32">
        <v>12.03</v>
      </c>
      <c r="AI32">
        <v>8.89</v>
      </c>
      <c r="AJ32">
        <v>6.93</v>
      </c>
      <c r="AK32">
        <v>0</v>
      </c>
      <c r="AL32">
        <v>1.04</v>
      </c>
      <c r="AM32">
        <v>1.54</v>
      </c>
      <c r="AN32">
        <v>5.81</v>
      </c>
      <c r="AO32">
        <v>0.59</v>
      </c>
      <c r="AP32">
        <v>24.61</v>
      </c>
      <c r="AQ32">
        <v>29.32</v>
      </c>
      <c r="AR32">
        <v>24.16</v>
      </c>
      <c r="AS32">
        <v>43.37</v>
      </c>
      <c r="AT32">
        <v>45.14</v>
      </c>
      <c r="AU32">
        <v>25.05</v>
      </c>
      <c r="AV32">
        <v>39.28</v>
      </c>
      <c r="AW32">
        <v>26.68</v>
      </c>
      <c r="AX32">
        <v>51.2</v>
      </c>
      <c r="AY32">
        <v>39.369999999999997</v>
      </c>
      <c r="AZ32">
        <v>43.73</v>
      </c>
      <c r="BA32">
        <v>0.22</v>
      </c>
    </row>
    <row r="33" spans="1:53" x14ac:dyDescent="0.25">
      <c r="A33" s="2" t="s">
        <v>13</v>
      </c>
      <c r="B33" s="2">
        <v>35</v>
      </c>
      <c r="C33" s="2" t="s">
        <v>3</v>
      </c>
      <c r="D33" s="2" t="s">
        <v>56</v>
      </c>
      <c r="E33" s="2">
        <v>-29.695</v>
      </c>
      <c r="F33" s="2">
        <v>-51.125</v>
      </c>
      <c r="G33">
        <v>40.99</v>
      </c>
      <c r="H33">
        <v>25.56</v>
      </c>
      <c r="I33">
        <v>1.27</v>
      </c>
      <c r="J33">
        <v>7.63</v>
      </c>
      <c r="K33">
        <v>29.62</v>
      </c>
      <c r="L33">
        <v>50.18</v>
      </c>
      <c r="M33">
        <v>35.21</v>
      </c>
      <c r="N33">
        <v>12.68</v>
      </c>
      <c r="O33">
        <v>25.62</v>
      </c>
      <c r="P33">
        <v>27.01</v>
      </c>
      <c r="Q33">
        <v>7.56</v>
      </c>
      <c r="R33">
        <v>25.86</v>
      </c>
      <c r="S33">
        <v>18.62</v>
      </c>
      <c r="T33">
        <v>15.39</v>
      </c>
      <c r="U33">
        <v>18.22</v>
      </c>
      <c r="V33">
        <v>40.15</v>
      </c>
      <c r="W33">
        <v>38.619999999999997</v>
      </c>
      <c r="X33">
        <v>37.58</v>
      </c>
      <c r="Y33">
        <v>37.549999999999997</v>
      </c>
      <c r="Z33">
        <v>37.119999999999997</v>
      </c>
      <c r="AA33">
        <v>27.89</v>
      </c>
      <c r="AB33">
        <v>28.28</v>
      </c>
      <c r="AC33">
        <v>30.19</v>
      </c>
      <c r="AD33">
        <v>30.59</v>
      </c>
      <c r="AE33">
        <v>6.37</v>
      </c>
      <c r="AF33">
        <v>7.12</v>
      </c>
      <c r="AG33">
        <v>13.01</v>
      </c>
      <c r="AH33">
        <v>12.23</v>
      </c>
      <c r="AI33">
        <v>7.95</v>
      </c>
      <c r="AJ33">
        <v>5.97</v>
      </c>
      <c r="AK33">
        <v>1.04</v>
      </c>
      <c r="AL33">
        <v>0</v>
      </c>
      <c r="AM33">
        <v>2.12</v>
      </c>
      <c r="AN33">
        <v>5.0199999999999996</v>
      </c>
      <c r="AO33">
        <v>1.6</v>
      </c>
      <c r="AP33">
        <v>23.67</v>
      </c>
      <c r="AQ33">
        <v>28.39</v>
      </c>
      <c r="AR33">
        <v>23.2</v>
      </c>
      <c r="AS33">
        <v>42.35</v>
      </c>
      <c r="AT33">
        <v>44.1</v>
      </c>
      <c r="AU33">
        <v>24.11</v>
      </c>
      <c r="AV33">
        <v>38.31</v>
      </c>
      <c r="AW33">
        <v>25.76</v>
      </c>
      <c r="AX33">
        <v>50.38</v>
      </c>
      <c r="AY33">
        <v>38.479999999999997</v>
      </c>
      <c r="AZ33">
        <v>42.79</v>
      </c>
      <c r="BA33">
        <v>0.94</v>
      </c>
    </row>
    <row r="34" spans="1:53" x14ac:dyDescent="0.25">
      <c r="A34" s="2" t="s">
        <v>15</v>
      </c>
      <c r="B34" s="2">
        <v>36</v>
      </c>
      <c r="C34" s="2" t="s">
        <v>3</v>
      </c>
      <c r="D34" s="2" t="s">
        <v>57</v>
      </c>
      <c r="E34" s="2">
        <v>-29.678000000000001</v>
      </c>
      <c r="F34" s="2">
        <v>-51.115000000000002</v>
      </c>
      <c r="G34">
        <v>43.01</v>
      </c>
      <c r="H34">
        <v>27.62</v>
      </c>
      <c r="I34">
        <v>1.64</v>
      </c>
      <c r="J34">
        <v>9.7200000000000006</v>
      </c>
      <c r="K34">
        <v>31.01</v>
      </c>
      <c r="L34">
        <v>52.3</v>
      </c>
      <c r="M34">
        <v>37.19</v>
      </c>
      <c r="N34">
        <v>10.96</v>
      </c>
      <c r="O34">
        <v>27.67</v>
      </c>
      <c r="P34">
        <v>29.03</v>
      </c>
      <c r="Q34">
        <v>9.65</v>
      </c>
      <c r="R34">
        <v>27.91</v>
      </c>
      <c r="S34">
        <v>20.72</v>
      </c>
      <c r="T34">
        <v>17.420000000000002</v>
      </c>
      <c r="U34">
        <v>20.309999999999999</v>
      </c>
      <c r="V34">
        <v>42.15</v>
      </c>
      <c r="W34">
        <v>40.700000000000003</v>
      </c>
      <c r="X34">
        <v>39.64</v>
      </c>
      <c r="Y34">
        <v>39.6</v>
      </c>
      <c r="Z34">
        <v>39.11</v>
      </c>
      <c r="AA34">
        <v>29.72</v>
      </c>
      <c r="AB34">
        <v>30.08</v>
      </c>
      <c r="AC34">
        <v>31.56</v>
      </c>
      <c r="AD34">
        <v>31.88</v>
      </c>
      <c r="AE34">
        <v>5.12</v>
      </c>
      <c r="AF34">
        <v>5.81</v>
      </c>
      <c r="AG34">
        <v>11.3</v>
      </c>
      <c r="AH34">
        <v>10.52</v>
      </c>
      <c r="AI34">
        <v>10.02</v>
      </c>
      <c r="AJ34">
        <v>8.02</v>
      </c>
      <c r="AK34">
        <v>1.54</v>
      </c>
      <c r="AL34">
        <v>2.12</v>
      </c>
      <c r="AM34">
        <v>0</v>
      </c>
      <c r="AN34">
        <v>7.14</v>
      </c>
      <c r="AO34">
        <v>1.7</v>
      </c>
      <c r="AP34">
        <v>25.7</v>
      </c>
      <c r="AQ34">
        <v>30.45</v>
      </c>
      <c r="AR34">
        <v>25.2</v>
      </c>
      <c r="AS34">
        <v>44.19</v>
      </c>
      <c r="AT34">
        <v>45.75</v>
      </c>
      <c r="AU34">
        <v>26.16</v>
      </c>
      <c r="AV34">
        <v>40.29</v>
      </c>
      <c r="AW34">
        <v>27.81</v>
      </c>
      <c r="AX34">
        <v>52.49</v>
      </c>
      <c r="AY34">
        <v>40.56</v>
      </c>
      <c r="AZ34">
        <v>44.81</v>
      </c>
      <c r="BA34">
        <v>1.75</v>
      </c>
    </row>
    <row r="35" spans="1:53" x14ac:dyDescent="0.25">
      <c r="A35" s="2" t="s">
        <v>14</v>
      </c>
      <c r="B35" s="2">
        <v>37</v>
      </c>
      <c r="C35" s="2" t="s">
        <v>25</v>
      </c>
      <c r="D35" s="2" t="s">
        <v>58</v>
      </c>
      <c r="E35" s="2">
        <v>-29.734999999999999</v>
      </c>
      <c r="F35" s="2">
        <v>-51.149000000000001</v>
      </c>
      <c r="G35">
        <v>36.270000000000003</v>
      </c>
      <c r="H35">
        <v>20.75</v>
      </c>
      <c r="I35">
        <v>5.9</v>
      </c>
      <c r="J35">
        <v>2.93</v>
      </c>
      <c r="K35">
        <v>26.75</v>
      </c>
      <c r="L35">
        <v>45.19</v>
      </c>
      <c r="M35">
        <v>30.62</v>
      </c>
      <c r="N35">
        <v>17.12</v>
      </c>
      <c r="O35">
        <v>20.84</v>
      </c>
      <c r="P35">
        <v>22.31</v>
      </c>
      <c r="Q35">
        <v>2.79</v>
      </c>
      <c r="R35">
        <v>21.09</v>
      </c>
      <c r="S35">
        <v>13.72</v>
      </c>
      <c r="T35">
        <v>10.79</v>
      </c>
      <c r="U35">
        <v>13.33</v>
      </c>
      <c r="V35">
        <v>35.5</v>
      </c>
      <c r="W35">
        <v>33.74</v>
      </c>
      <c r="X35">
        <v>32.74</v>
      </c>
      <c r="Y35">
        <v>32.75</v>
      </c>
      <c r="Z35">
        <v>32.51</v>
      </c>
      <c r="AA35">
        <v>23.79</v>
      </c>
      <c r="AB35">
        <v>24.25</v>
      </c>
      <c r="AC35">
        <v>27.39</v>
      </c>
      <c r="AD35">
        <v>27.96</v>
      </c>
      <c r="AE35">
        <v>10.52</v>
      </c>
      <c r="AF35">
        <v>11.27</v>
      </c>
      <c r="AG35">
        <v>17.440000000000001</v>
      </c>
      <c r="AH35">
        <v>16.670000000000002</v>
      </c>
      <c r="AI35">
        <v>3.4</v>
      </c>
      <c r="AJ35">
        <v>1.98</v>
      </c>
      <c r="AK35">
        <v>5.81</v>
      </c>
      <c r="AL35">
        <v>5.0199999999999996</v>
      </c>
      <c r="AM35">
        <v>7.14</v>
      </c>
      <c r="AN35">
        <v>0</v>
      </c>
      <c r="AO35">
        <v>6.12</v>
      </c>
      <c r="AP35">
        <v>18.97</v>
      </c>
      <c r="AQ35">
        <v>23.61</v>
      </c>
      <c r="AR35">
        <v>18.579999999999998</v>
      </c>
      <c r="AS35">
        <v>38.159999999999997</v>
      </c>
      <c r="AT35">
        <v>40.39</v>
      </c>
      <c r="AU35">
        <v>19.36</v>
      </c>
      <c r="AV35">
        <v>33.72</v>
      </c>
      <c r="AW35">
        <v>20.97</v>
      </c>
      <c r="AX35">
        <v>45.39</v>
      </c>
      <c r="AY35">
        <v>33.590000000000003</v>
      </c>
      <c r="AZ35">
        <v>38.07</v>
      </c>
      <c r="BA35">
        <v>5.61</v>
      </c>
    </row>
    <row r="36" spans="1:53" x14ac:dyDescent="0.25">
      <c r="A36" s="2" t="s">
        <v>13</v>
      </c>
      <c r="B36" s="2">
        <v>38</v>
      </c>
      <c r="C36" s="2" t="s">
        <v>3</v>
      </c>
      <c r="D36" s="2" t="s">
        <v>59</v>
      </c>
      <c r="E36" s="2">
        <v>-29.681999999999999</v>
      </c>
      <c r="F36" s="2">
        <v>-51.131999999999998</v>
      </c>
      <c r="G36">
        <v>42.32</v>
      </c>
      <c r="H36">
        <v>26.84</v>
      </c>
      <c r="I36">
        <v>0.33</v>
      </c>
      <c r="J36">
        <v>8.91</v>
      </c>
      <c r="K36">
        <v>31.22</v>
      </c>
      <c r="L36">
        <v>51.27</v>
      </c>
      <c r="M36">
        <v>36.590000000000003</v>
      </c>
      <c r="N36">
        <v>12.65</v>
      </c>
      <c r="O36">
        <v>26.91</v>
      </c>
      <c r="P36">
        <v>28.35</v>
      </c>
      <c r="Q36">
        <v>8.81</v>
      </c>
      <c r="R36">
        <v>27.16</v>
      </c>
      <c r="S36">
        <v>19.829999999999998</v>
      </c>
      <c r="T36">
        <v>16.75</v>
      </c>
      <c r="U36">
        <v>19.440000000000001</v>
      </c>
      <c r="V36">
        <v>41.51</v>
      </c>
      <c r="W36">
        <v>39.85</v>
      </c>
      <c r="X36">
        <v>38.840000000000003</v>
      </c>
      <c r="Y36">
        <v>38.840000000000003</v>
      </c>
      <c r="Z36">
        <v>38.49</v>
      </c>
      <c r="AA36">
        <v>29.39</v>
      </c>
      <c r="AB36">
        <v>29.79</v>
      </c>
      <c r="AC36">
        <v>31.79</v>
      </c>
      <c r="AD36">
        <v>32.18</v>
      </c>
      <c r="AE36">
        <v>6.78</v>
      </c>
      <c r="AF36">
        <v>7.48</v>
      </c>
      <c r="AG36">
        <v>12.98</v>
      </c>
      <c r="AH36">
        <v>12.21</v>
      </c>
      <c r="AI36">
        <v>9.2799999999999994</v>
      </c>
      <c r="AJ36">
        <v>7.34</v>
      </c>
      <c r="AK36">
        <v>0.59</v>
      </c>
      <c r="AL36">
        <v>1.6</v>
      </c>
      <c r="AM36">
        <v>1.7</v>
      </c>
      <c r="AN36">
        <v>6.12</v>
      </c>
      <c r="AO36">
        <v>0</v>
      </c>
      <c r="AP36">
        <v>25</v>
      </c>
      <c r="AQ36">
        <v>29.69</v>
      </c>
      <c r="AR36">
        <v>24.56</v>
      </c>
      <c r="AS36">
        <v>43.84</v>
      </c>
      <c r="AT36">
        <v>45.66</v>
      </c>
      <c r="AU36">
        <v>25.42</v>
      </c>
      <c r="AV36">
        <v>39.69</v>
      </c>
      <c r="AW36">
        <v>27.05</v>
      </c>
      <c r="AX36">
        <v>51.48</v>
      </c>
      <c r="AY36">
        <v>39.71</v>
      </c>
      <c r="AZ36">
        <v>44.12</v>
      </c>
      <c r="BA36">
        <v>0.66</v>
      </c>
    </row>
    <row r="37" spans="1:53" x14ac:dyDescent="0.25">
      <c r="A37" s="2" t="s">
        <v>16</v>
      </c>
      <c r="B37" s="2">
        <v>39</v>
      </c>
      <c r="C37" s="2" t="s">
        <v>7</v>
      </c>
      <c r="D37" s="2" t="s">
        <v>60</v>
      </c>
      <c r="E37" s="2">
        <v>-29.905000000000001</v>
      </c>
      <c r="F37" s="2">
        <v>-51.164999999999999</v>
      </c>
      <c r="G37">
        <v>17.32</v>
      </c>
      <c r="H37">
        <v>2.37</v>
      </c>
      <c r="I37">
        <v>24.75</v>
      </c>
      <c r="J37">
        <v>16.100000000000001</v>
      </c>
      <c r="K37">
        <v>16.13</v>
      </c>
      <c r="L37">
        <v>27.68</v>
      </c>
      <c r="M37">
        <v>11.71</v>
      </c>
      <c r="N37">
        <v>33.17</v>
      </c>
      <c r="O37">
        <v>2.2200000000000002</v>
      </c>
      <c r="P37">
        <v>3.35</v>
      </c>
      <c r="Q37">
        <v>16.2</v>
      </c>
      <c r="R37">
        <v>2.36</v>
      </c>
      <c r="S37">
        <v>5.8</v>
      </c>
      <c r="T37">
        <v>8.2799999999999994</v>
      </c>
      <c r="U37">
        <v>6.05</v>
      </c>
      <c r="V37">
        <v>16.54</v>
      </c>
      <c r="W37">
        <v>15.24</v>
      </c>
      <c r="X37">
        <v>14.05</v>
      </c>
      <c r="Y37">
        <v>13.94</v>
      </c>
      <c r="Z37">
        <v>13.57</v>
      </c>
      <c r="AA37">
        <v>7.53</v>
      </c>
      <c r="AB37">
        <v>8.27</v>
      </c>
      <c r="AC37">
        <v>16.89</v>
      </c>
      <c r="AD37">
        <v>18.07</v>
      </c>
      <c r="AE37">
        <v>27.13</v>
      </c>
      <c r="AF37">
        <v>27.69</v>
      </c>
      <c r="AG37">
        <v>33.43</v>
      </c>
      <c r="AH37">
        <v>32.78</v>
      </c>
      <c r="AI37">
        <v>15.72</v>
      </c>
      <c r="AJ37">
        <v>17.7</v>
      </c>
      <c r="AK37">
        <v>24.61</v>
      </c>
      <c r="AL37">
        <v>23.67</v>
      </c>
      <c r="AM37">
        <v>25.7</v>
      </c>
      <c r="AN37">
        <v>18.97</v>
      </c>
      <c r="AO37">
        <v>25</v>
      </c>
      <c r="AP37">
        <v>0</v>
      </c>
      <c r="AQ37">
        <v>4.8499999999999996</v>
      </c>
      <c r="AR37">
        <v>1.02</v>
      </c>
      <c r="AS37">
        <v>20.07</v>
      </c>
      <c r="AT37">
        <v>23.86</v>
      </c>
      <c r="AU37">
        <v>0.75</v>
      </c>
      <c r="AV37">
        <v>14.79</v>
      </c>
      <c r="AW37">
        <v>2.4</v>
      </c>
      <c r="AX37">
        <v>27.76</v>
      </c>
      <c r="AY37">
        <v>15.15</v>
      </c>
      <c r="AZ37">
        <v>19.12</v>
      </c>
      <c r="BA37">
        <v>24.43</v>
      </c>
    </row>
    <row r="38" spans="1:53" x14ac:dyDescent="0.25">
      <c r="A38" s="2" t="s">
        <v>17</v>
      </c>
      <c r="B38" s="2">
        <v>40</v>
      </c>
      <c r="C38" s="2" t="s">
        <v>7</v>
      </c>
      <c r="D38" s="2" t="s">
        <v>61</v>
      </c>
      <c r="E38" s="2">
        <v>-29.945</v>
      </c>
      <c r="F38" s="2">
        <v>-51.185000000000002</v>
      </c>
      <c r="G38">
        <v>12.71</v>
      </c>
      <c r="H38">
        <v>2.87</v>
      </c>
      <c r="I38">
        <v>29.44</v>
      </c>
      <c r="J38">
        <v>20.78</v>
      </c>
      <c r="K38">
        <v>17.62</v>
      </c>
      <c r="L38">
        <v>22.93</v>
      </c>
      <c r="M38">
        <v>7.64</v>
      </c>
      <c r="N38">
        <v>38.01</v>
      </c>
      <c r="O38">
        <v>2.78</v>
      </c>
      <c r="P38">
        <v>1.98</v>
      </c>
      <c r="Q38">
        <v>20.88</v>
      </c>
      <c r="R38">
        <v>2.54</v>
      </c>
      <c r="S38">
        <v>10.01</v>
      </c>
      <c r="T38">
        <v>13.06</v>
      </c>
      <c r="U38">
        <v>10.36</v>
      </c>
      <c r="V38">
        <v>12.1</v>
      </c>
      <c r="W38">
        <v>10.39</v>
      </c>
      <c r="X38">
        <v>9.2200000000000006</v>
      </c>
      <c r="Y38">
        <v>9.16</v>
      </c>
      <c r="Z38">
        <v>9.32</v>
      </c>
      <c r="AA38">
        <v>8</v>
      </c>
      <c r="AB38">
        <v>8.68</v>
      </c>
      <c r="AC38">
        <v>18.309999999999999</v>
      </c>
      <c r="AD38">
        <v>19.57</v>
      </c>
      <c r="AE38">
        <v>31.97</v>
      </c>
      <c r="AF38">
        <v>32.54</v>
      </c>
      <c r="AG38">
        <v>38.270000000000003</v>
      </c>
      <c r="AH38">
        <v>37.619999999999997</v>
      </c>
      <c r="AI38">
        <v>20.440000000000001</v>
      </c>
      <c r="AJ38">
        <v>22.43</v>
      </c>
      <c r="AK38">
        <v>29.32</v>
      </c>
      <c r="AL38">
        <v>28.39</v>
      </c>
      <c r="AM38">
        <v>30.45</v>
      </c>
      <c r="AN38">
        <v>23.61</v>
      </c>
      <c r="AO38">
        <v>29.69</v>
      </c>
      <c r="AP38">
        <v>4.8499999999999996</v>
      </c>
      <c r="AQ38">
        <v>0</v>
      </c>
      <c r="AR38">
        <v>5.59</v>
      </c>
      <c r="AS38">
        <v>16.850000000000001</v>
      </c>
      <c r="AT38">
        <v>21.67</v>
      </c>
      <c r="AU38">
        <v>4.3</v>
      </c>
      <c r="AV38">
        <v>10.58</v>
      </c>
      <c r="AW38">
        <v>2.64</v>
      </c>
      <c r="AX38">
        <v>22.99</v>
      </c>
      <c r="AY38">
        <v>10.31</v>
      </c>
      <c r="AZ38">
        <v>14.49</v>
      </c>
      <c r="BA38">
        <v>29.13</v>
      </c>
    </row>
    <row r="39" spans="1:53" x14ac:dyDescent="0.25">
      <c r="A39" s="2" t="s">
        <v>15</v>
      </c>
      <c r="B39" s="2">
        <v>41</v>
      </c>
      <c r="C39" s="2" t="s">
        <v>7</v>
      </c>
      <c r="D39" s="2" t="s">
        <v>62</v>
      </c>
      <c r="E39" s="2">
        <v>-29.902000000000001</v>
      </c>
      <c r="F39" s="2">
        <v>-51.155000000000001</v>
      </c>
      <c r="G39">
        <v>17.809999999999999</v>
      </c>
      <c r="H39">
        <v>3.34</v>
      </c>
      <c r="I39">
        <v>24.3</v>
      </c>
      <c r="J39">
        <v>15.68</v>
      </c>
      <c r="K39">
        <v>15.29</v>
      </c>
      <c r="L39">
        <v>28.5</v>
      </c>
      <c r="M39">
        <v>12.04</v>
      </c>
      <c r="N39">
        <v>32.450000000000003</v>
      </c>
      <c r="O39">
        <v>3.13</v>
      </c>
      <c r="P39">
        <v>3.88</v>
      </c>
      <c r="Q39">
        <v>15.8</v>
      </c>
      <c r="R39">
        <v>3.22</v>
      </c>
      <c r="S39">
        <v>5.84</v>
      </c>
      <c r="T39">
        <v>7.81</v>
      </c>
      <c r="U39">
        <v>6.02</v>
      </c>
      <c r="V39">
        <v>16.95</v>
      </c>
      <c r="W39">
        <v>15.95</v>
      </c>
      <c r="X39">
        <v>14.71</v>
      </c>
      <c r="Y39">
        <v>14.55</v>
      </c>
      <c r="Z39">
        <v>13.93</v>
      </c>
      <c r="AA39">
        <v>7</v>
      </c>
      <c r="AB39">
        <v>7.72</v>
      </c>
      <c r="AC39">
        <v>16.05</v>
      </c>
      <c r="AD39">
        <v>17.21</v>
      </c>
      <c r="AE39">
        <v>26.48</v>
      </c>
      <c r="AF39">
        <v>27.02</v>
      </c>
      <c r="AG39">
        <v>32.700000000000003</v>
      </c>
      <c r="AH39">
        <v>32.06</v>
      </c>
      <c r="AI39">
        <v>15.29</v>
      </c>
      <c r="AJ39">
        <v>17.23</v>
      </c>
      <c r="AK39">
        <v>24.16</v>
      </c>
      <c r="AL39">
        <v>23.2</v>
      </c>
      <c r="AM39">
        <v>25.2</v>
      </c>
      <c r="AN39">
        <v>18.579999999999998</v>
      </c>
      <c r="AO39">
        <v>24.56</v>
      </c>
      <c r="AP39">
        <v>1.02</v>
      </c>
      <c r="AQ39">
        <v>5.59</v>
      </c>
      <c r="AR39">
        <v>0</v>
      </c>
      <c r="AS39">
        <v>20.09</v>
      </c>
      <c r="AT39">
        <v>23.61</v>
      </c>
      <c r="AU39">
        <v>1.77</v>
      </c>
      <c r="AV39">
        <v>15.14</v>
      </c>
      <c r="AW39">
        <v>3.31</v>
      </c>
      <c r="AX39">
        <v>28.57</v>
      </c>
      <c r="AY39">
        <v>15.88</v>
      </c>
      <c r="AZ39">
        <v>19.62</v>
      </c>
      <c r="BA39">
        <v>23.98</v>
      </c>
    </row>
    <row r="40" spans="1:53" x14ac:dyDescent="0.25">
      <c r="A40" s="2" t="s">
        <v>15</v>
      </c>
      <c r="B40" s="2">
        <v>42</v>
      </c>
      <c r="C40" s="2" t="s">
        <v>64</v>
      </c>
      <c r="D40" s="2" t="s">
        <v>63</v>
      </c>
      <c r="E40" s="2">
        <v>-30.074999999999999</v>
      </c>
      <c r="F40" s="2">
        <v>-51.094999999999999</v>
      </c>
      <c r="G40">
        <v>9.36</v>
      </c>
      <c r="H40">
        <v>19.3</v>
      </c>
      <c r="I40">
        <v>43.55</v>
      </c>
      <c r="J40">
        <v>35.229999999999997</v>
      </c>
      <c r="K40">
        <v>17.54</v>
      </c>
      <c r="L40">
        <v>22.54</v>
      </c>
      <c r="M40">
        <v>9.5500000000000007</v>
      </c>
      <c r="N40">
        <v>49.24</v>
      </c>
      <c r="O40">
        <v>19.010000000000002</v>
      </c>
      <c r="P40">
        <v>17.079999999999998</v>
      </c>
      <c r="Q40">
        <v>35.380000000000003</v>
      </c>
      <c r="R40">
        <v>18.7</v>
      </c>
      <c r="S40">
        <v>25.86</v>
      </c>
      <c r="T40">
        <v>27.5</v>
      </c>
      <c r="U40">
        <v>26.08</v>
      </c>
      <c r="V40">
        <v>8.0399999999999991</v>
      </c>
      <c r="W40">
        <v>13.77</v>
      </c>
      <c r="X40">
        <v>12.78</v>
      </c>
      <c r="Y40">
        <v>11.93</v>
      </c>
      <c r="Z40">
        <v>8.6</v>
      </c>
      <c r="AA40">
        <v>14.47</v>
      </c>
      <c r="AB40">
        <v>14.12</v>
      </c>
      <c r="AC40">
        <v>17.649999999999999</v>
      </c>
      <c r="AD40">
        <v>18.489999999999998</v>
      </c>
      <c r="AE40">
        <v>44.26</v>
      </c>
      <c r="AF40">
        <v>44.64</v>
      </c>
      <c r="AG40">
        <v>49.42</v>
      </c>
      <c r="AH40">
        <v>48.93</v>
      </c>
      <c r="AI40">
        <v>34.770000000000003</v>
      </c>
      <c r="AJ40">
        <v>36.56</v>
      </c>
      <c r="AK40">
        <v>43.37</v>
      </c>
      <c r="AL40">
        <v>42.35</v>
      </c>
      <c r="AM40">
        <v>44.19</v>
      </c>
      <c r="AN40">
        <v>38.159999999999997</v>
      </c>
      <c r="AO40">
        <v>43.84</v>
      </c>
      <c r="AP40">
        <v>20.07</v>
      </c>
      <c r="AQ40">
        <v>16.850000000000001</v>
      </c>
      <c r="AR40">
        <v>20.09</v>
      </c>
      <c r="AS40">
        <v>0</v>
      </c>
      <c r="AT40">
        <v>6.78</v>
      </c>
      <c r="AU40">
        <v>20</v>
      </c>
      <c r="AV40">
        <v>7.65</v>
      </c>
      <c r="AW40">
        <v>18.97</v>
      </c>
      <c r="AX40">
        <v>22.19</v>
      </c>
      <c r="AY40">
        <v>14.12</v>
      </c>
      <c r="AZ40">
        <v>9.6199999999999992</v>
      </c>
      <c r="BA40">
        <v>43.22</v>
      </c>
    </row>
    <row r="41" spans="1:53" x14ac:dyDescent="0.25">
      <c r="A41" s="2" t="s">
        <v>17</v>
      </c>
      <c r="B41" s="2">
        <v>43</v>
      </c>
      <c r="C41" s="2" t="s">
        <v>64</v>
      </c>
      <c r="D41" s="2" t="s">
        <v>65</v>
      </c>
      <c r="E41" s="2">
        <v>-30.082000000000001</v>
      </c>
      <c r="F41" s="2">
        <v>-51.024999999999999</v>
      </c>
      <c r="G41">
        <v>16.13</v>
      </c>
      <c r="H41">
        <v>23.67</v>
      </c>
      <c r="I41">
        <v>45.35</v>
      </c>
      <c r="J41">
        <v>37.520000000000003</v>
      </c>
      <c r="K41">
        <v>16.03</v>
      </c>
      <c r="L41">
        <v>29.09</v>
      </c>
      <c r="M41">
        <v>15.26</v>
      </c>
      <c r="N41">
        <v>49.37</v>
      </c>
      <c r="O41">
        <v>23.32</v>
      </c>
      <c r="P41">
        <v>21.37</v>
      </c>
      <c r="Q41">
        <v>37.69</v>
      </c>
      <c r="R41">
        <v>23.01</v>
      </c>
      <c r="S41">
        <v>29.43</v>
      </c>
      <c r="T41">
        <v>30.22</v>
      </c>
      <c r="U41">
        <v>29.57</v>
      </c>
      <c r="V41">
        <v>14.76</v>
      </c>
      <c r="W41">
        <v>20.41</v>
      </c>
      <c r="X41">
        <v>19.3</v>
      </c>
      <c r="Y41">
        <v>18.43</v>
      </c>
      <c r="Z41">
        <v>14.8</v>
      </c>
      <c r="AA41">
        <v>16.940000000000001</v>
      </c>
      <c r="AB41">
        <v>16.350000000000001</v>
      </c>
      <c r="AC41">
        <v>15.83</v>
      </c>
      <c r="AD41">
        <v>16.27</v>
      </c>
      <c r="AE41">
        <v>45.06</v>
      </c>
      <c r="AF41">
        <v>45.35</v>
      </c>
      <c r="AG41">
        <v>49.51</v>
      </c>
      <c r="AH41">
        <v>49.1</v>
      </c>
      <c r="AI41">
        <v>37.01</v>
      </c>
      <c r="AJ41">
        <v>38.619999999999997</v>
      </c>
      <c r="AK41">
        <v>45.14</v>
      </c>
      <c r="AL41">
        <v>44.1</v>
      </c>
      <c r="AM41">
        <v>45.75</v>
      </c>
      <c r="AN41">
        <v>40.39</v>
      </c>
      <c r="AO41">
        <v>45.66</v>
      </c>
      <c r="AP41">
        <v>23.86</v>
      </c>
      <c r="AQ41">
        <v>21.67</v>
      </c>
      <c r="AR41">
        <v>23.61</v>
      </c>
      <c r="AS41">
        <v>6.78</v>
      </c>
      <c r="AT41">
        <v>0</v>
      </c>
      <c r="AU41">
        <v>23.97</v>
      </c>
      <c r="AV41">
        <v>14.06</v>
      </c>
      <c r="AW41">
        <v>23.33</v>
      </c>
      <c r="AX41">
        <v>28.71</v>
      </c>
      <c r="AY41">
        <v>20.75</v>
      </c>
      <c r="AZ41">
        <v>16.38</v>
      </c>
      <c r="BA41">
        <v>45.01</v>
      </c>
    </row>
    <row r="42" spans="1:53" x14ac:dyDescent="0.25">
      <c r="A42" s="2" t="s">
        <v>13</v>
      </c>
      <c r="B42" s="2">
        <v>44</v>
      </c>
      <c r="C42" s="2" t="s">
        <v>7</v>
      </c>
      <c r="D42" s="2" t="s">
        <v>66</v>
      </c>
      <c r="E42" s="2">
        <v>-29.908000000000001</v>
      </c>
      <c r="F42" s="2">
        <v>-51.171999999999997</v>
      </c>
      <c r="G42">
        <v>16.91</v>
      </c>
      <c r="H42">
        <v>1.66</v>
      </c>
      <c r="I42">
        <v>25.18</v>
      </c>
      <c r="J42">
        <v>16.52</v>
      </c>
      <c r="K42">
        <v>16.72</v>
      </c>
      <c r="L42">
        <v>27.03</v>
      </c>
      <c r="M42">
        <v>11.42</v>
      </c>
      <c r="N42">
        <v>33.78</v>
      </c>
      <c r="O42">
        <v>1.57</v>
      </c>
      <c r="P42">
        <v>3.03</v>
      </c>
      <c r="Q42">
        <v>16.61</v>
      </c>
      <c r="R42">
        <v>1.77</v>
      </c>
      <c r="S42">
        <v>5.97</v>
      </c>
      <c r="T42">
        <v>8.76</v>
      </c>
      <c r="U42">
        <v>6.26</v>
      </c>
      <c r="V42">
        <v>16.18</v>
      </c>
      <c r="W42">
        <v>14.67</v>
      </c>
      <c r="X42">
        <v>13.52</v>
      </c>
      <c r="Y42">
        <v>13.45</v>
      </c>
      <c r="Z42">
        <v>13.25</v>
      </c>
      <c r="AA42">
        <v>7.9</v>
      </c>
      <c r="AB42">
        <v>8.65</v>
      </c>
      <c r="AC42">
        <v>17.47</v>
      </c>
      <c r="AD42">
        <v>18.66</v>
      </c>
      <c r="AE42">
        <v>27.69</v>
      </c>
      <c r="AF42">
        <v>28.26</v>
      </c>
      <c r="AG42">
        <v>34.04</v>
      </c>
      <c r="AH42">
        <v>33.380000000000003</v>
      </c>
      <c r="AI42">
        <v>16.16</v>
      </c>
      <c r="AJ42">
        <v>18.149999999999999</v>
      </c>
      <c r="AK42">
        <v>25.05</v>
      </c>
      <c r="AL42">
        <v>24.11</v>
      </c>
      <c r="AM42">
        <v>26.16</v>
      </c>
      <c r="AN42">
        <v>19.36</v>
      </c>
      <c r="AO42">
        <v>25.42</v>
      </c>
      <c r="AP42">
        <v>0.75</v>
      </c>
      <c r="AQ42">
        <v>4.3</v>
      </c>
      <c r="AR42">
        <v>1.77</v>
      </c>
      <c r="AS42">
        <v>20</v>
      </c>
      <c r="AT42">
        <v>23.97</v>
      </c>
      <c r="AU42">
        <v>0</v>
      </c>
      <c r="AV42">
        <v>14.49</v>
      </c>
      <c r="AW42">
        <v>1.73</v>
      </c>
      <c r="AX42">
        <v>27.12</v>
      </c>
      <c r="AY42">
        <v>14.57</v>
      </c>
      <c r="AZ42">
        <v>18.7</v>
      </c>
      <c r="BA42">
        <v>24.86</v>
      </c>
    </row>
    <row r="43" spans="1:53" x14ac:dyDescent="0.25">
      <c r="A43" s="2" t="s">
        <v>13</v>
      </c>
      <c r="B43" s="2">
        <v>45</v>
      </c>
      <c r="C43" s="2" t="s">
        <v>8</v>
      </c>
      <c r="D43" s="2" t="s">
        <v>67</v>
      </c>
      <c r="E43" s="2">
        <v>-30.038</v>
      </c>
      <c r="F43" s="2">
        <v>-51.161999999999999</v>
      </c>
      <c r="G43">
        <v>3.62</v>
      </c>
      <c r="H43">
        <v>13.37</v>
      </c>
      <c r="I43">
        <v>39.43</v>
      </c>
      <c r="J43">
        <v>30.82</v>
      </c>
      <c r="K43">
        <v>18.899999999999999</v>
      </c>
      <c r="L43">
        <v>17.73</v>
      </c>
      <c r="M43">
        <v>3.1</v>
      </c>
      <c r="N43">
        <v>46.77</v>
      </c>
      <c r="O43">
        <v>13.17</v>
      </c>
      <c r="P43">
        <v>11.47</v>
      </c>
      <c r="Q43">
        <v>30.93</v>
      </c>
      <c r="R43">
        <v>12.88</v>
      </c>
      <c r="S43">
        <v>20.440000000000001</v>
      </c>
      <c r="T43">
        <v>22.95</v>
      </c>
      <c r="U43">
        <v>20.75</v>
      </c>
      <c r="V43">
        <v>2.12</v>
      </c>
      <c r="W43">
        <v>6.46</v>
      </c>
      <c r="X43">
        <v>5.24</v>
      </c>
      <c r="Y43">
        <v>4.37</v>
      </c>
      <c r="Z43">
        <v>1.26</v>
      </c>
      <c r="AA43">
        <v>11.85</v>
      </c>
      <c r="AB43">
        <v>11.91</v>
      </c>
      <c r="AC43">
        <v>19.3</v>
      </c>
      <c r="AD43">
        <v>20.45</v>
      </c>
      <c r="AE43">
        <v>41.18</v>
      </c>
      <c r="AF43">
        <v>41.66</v>
      </c>
      <c r="AG43">
        <v>47</v>
      </c>
      <c r="AH43">
        <v>46.42</v>
      </c>
      <c r="AI43">
        <v>30.42</v>
      </c>
      <c r="AJ43">
        <v>32.35</v>
      </c>
      <c r="AK43">
        <v>39.28</v>
      </c>
      <c r="AL43">
        <v>38.31</v>
      </c>
      <c r="AM43">
        <v>40.29</v>
      </c>
      <c r="AN43">
        <v>33.72</v>
      </c>
      <c r="AO43">
        <v>39.69</v>
      </c>
      <c r="AP43">
        <v>14.79</v>
      </c>
      <c r="AQ43">
        <v>10.58</v>
      </c>
      <c r="AR43">
        <v>15.14</v>
      </c>
      <c r="AS43">
        <v>7.65</v>
      </c>
      <c r="AT43">
        <v>14.06</v>
      </c>
      <c r="AU43">
        <v>14.49</v>
      </c>
      <c r="AV43">
        <v>0</v>
      </c>
      <c r="AW43">
        <v>13.08</v>
      </c>
      <c r="AX43">
        <v>17.53</v>
      </c>
      <c r="AY43">
        <v>6.77</v>
      </c>
      <c r="AZ43">
        <v>5.2</v>
      </c>
      <c r="BA43">
        <v>39.1</v>
      </c>
    </row>
    <row r="44" spans="1:53" x14ac:dyDescent="0.25">
      <c r="A44" s="2" t="s">
        <v>15</v>
      </c>
      <c r="B44" s="2">
        <v>46</v>
      </c>
      <c r="C44" s="2" t="s">
        <v>7</v>
      </c>
      <c r="D44" s="2" t="s">
        <v>68</v>
      </c>
      <c r="E44" s="2">
        <v>-29.921500000000002</v>
      </c>
      <c r="F44" s="2">
        <v>-51.180999999999997</v>
      </c>
      <c r="G44">
        <v>15.34</v>
      </c>
      <c r="H44">
        <v>0.34</v>
      </c>
      <c r="I44">
        <v>26.81</v>
      </c>
      <c r="J44">
        <v>18.149999999999999</v>
      </c>
      <c r="K44">
        <v>17.329999999999998</v>
      </c>
      <c r="L44">
        <v>25.3</v>
      </c>
      <c r="M44">
        <v>10.07</v>
      </c>
      <c r="N44">
        <v>35.51</v>
      </c>
      <c r="O44">
        <v>0.18</v>
      </c>
      <c r="P44">
        <v>1.96</v>
      </c>
      <c r="Q44">
        <v>18.239999999999998</v>
      </c>
      <c r="R44">
        <v>0.33</v>
      </c>
      <c r="S44">
        <v>7.4</v>
      </c>
      <c r="T44">
        <v>10.45</v>
      </c>
      <c r="U44">
        <v>7.73</v>
      </c>
      <c r="V44">
        <v>14.69</v>
      </c>
      <c r="W44">
        <v>12.96</v>
      </c>
      <c r="X44">
        <v>11.83</v>
      </c>
      <c r="Y44">
        <v>11.79</v>
      </c>
      <c r="Z44">
        <v>11.83</v>
      </c>
      <c r="AA44">
        <v>8.0500000000000007</v>
      </c>
      <c r="AB44">
        <v>8.8000000000000007</v>
      </c>
      <c r="AC44">
        <v>18.07</v>
      </c>
      <c r="AD44">
        <v>19.29</v>
      </c>
      <c r="AE44">
        <v>29.41</v>
      </c>
      <c r="AF44">
        <v>29.99</v>
      </c>
      <c r="AG44">
        <v>35.770000000000003</v>
      </c>
      <c r="AH44">
        <v>35.11</v>
      </c>
      <c r="AI44">
        <v>17.8</v>
      </c>
      <c r="AJ44">
        <v>19.8</v>
      </c>
      <c r="AK44">
        <v>26.68</v>
      </c>
      <c r="AL44">
        <v>25.76</v>
      </c>
      <c r="AM44">
        <v>27.81</v>
      </c>
      <c r="AN44">
        <v>20.97</v>
      </c>
      <c r="AO44">
        <v>27.05</v>
      </c>
      <c r="AP44">
        <v>2.4</v>
      </c>
      <c r="AQ44">
        <v>2.64</v>
      </c>
      <c r="AR44">
        <v>3.31</v>
      </c>
      <c r="AS44">
        <v>18.97</v>
      </c>
      <c r="AT44">
        <v>23.33</v>
      </c>
      <c r="AU44">
        <v>1.73</v>
      </c>
      <c r="AV44">
        <v>13.08</v>
      </c>
      <c r="AW44">
        <v>0</v>
      </c>
      <c r="AX44">
        <v>25.39</v>
      </c>
      <c r="AY44">
        <v>12.85</v>
      </c>
      <c r="AZ44">
        <v>17.12</v>
      </c>
      <c r="BA44">
        <v>26.49</v>
      </c>
    </row>
    <row r="45" spans="1:53" x14ac:dyDescent="0.25">
      <c r="A45" s="2" t="s">
        <v>17</v>
      </c>
      <c r="B45" s="2">
        <v>47</v>
      </c>
      <c r="C45" s="2" t="s">
        <v>29</v>
      </c>
      <c r="D45" s="2" t="s">
        <v>69</v>
      </c>
      <c r="E45" s="2">
        <v>-30.114999999999998</v>
      </c>
      <c r="F45" s="2">
        <v>-51.320999999999998</v>
      </c>
      <c r="G45">
        <v>14.01</v>
      </c>
      <c r="H45">
        <v>25.49</v>
      </c>
      <c r="I45">
        <v>51.28</v>
      </c>
      <c r="J45">
        <v>42.81</v>
      </c>
      <c r="K45">
        <v>36.380000000000003</v>
      </c>
      <c r="L45">
        <v>0.57999999999999996</v>
      </c>
      <c r="M45">
        <v>19.38</v>
      </c>
      <c r="N45">
        <v>60.85</v>
      </c>
      <c r="O45">
        <v>25.56</v>
      </c>
      <c r="P45">
        <v>24.85</v>
      </c>
      <c r="Q45">
        <v>42.86</v>
      </c>
      <c r="R45">
        <v>25.4</v>
      </c>
      <c r="S45">
        <v>31.86</v>
      </c>
      <c r="T45">
        <v>35.61</v>
      </c>
      <c r="U45">
        <v>32.28</v>
      </c>
      <c r="V45">
        <v>15.64</v>
      </c>
      <c r="W45">
        <v>12.94</v>
      </c>
      <c r="X45">
        <v>14.44</v>
      </c>
      <c r="Y45">
        <v>14.95</v>
      </c>
      <c r="Z45">
        <v>17.920000000000002</v>
      </c>
      <c r="AA45">
        <v>28.32</v>
      </c>
      <c r="AB45">
        <v>28.6</v>
      </c>
      <c r="AC45">
        <v>36.81</v>
      </c>
      <c r="AD45">
        <v>37.97</v>
      </c>
      <c r="AE45">
        <v>54.63</v>
      </c>
      <c r="AF45">
        <v>55.24</v>
      </c>
      <c r="AG45">
        <v>61.12</v>
      </c>
      <c r="AH45">
        <v>60.45</v>
      </c>
      <c r="AI45">
        <v>42.57</v>
      </c>
      <c r="AJ45">
        <v>44.57</v>
      </c>
      <c r="AK45">
        <v>51.2</v>
      </c>
      <c r="AL45">
        <v>50.38</v>
      </c>
      <c r="AM45">
        <v>52.49</v>
      </c>
      <c r="AN45">
        <v>45.39</v>
      </c>
      <c r="AO45">
        <v>51.48</v>
      </c>
      <c r="AP45">
        <v>27.76</v>
      </c>
      <c r="AQ45">
        <v>22.99</v>
      </c>
      <c r="AR45">
        <v>28.57</v>
      </c>
      <c r="AS45">
        <v>22.19</v>
      </c>
      <c r="AT45">
        <v>28.71</v>
      </c>
      <c r="AU45">
        <v>27.12</v>
      </c>
      <c r="AV45">
        <v>17.53</v>
      </c>
      <c r="AW45">
        <v>25.39</v>
      </c>
      <c r="AX45">
        <v>0</v>
      </c>
      <c r="AY45">
        <v>12.91</v>
      </c>
      <c r="AZ45">
        <v>12.91</v>
      </c>
      <c r="BA45">
        <v>50.99</v>
      </c>
    </row>
    <row r="46" spans="1:53" x14ac:dyDescent="0.25">
      <c r="A46" s="2" t="s">
        <v>14</v>
      </c>
      <c r="B46" s="2">
        <v>48</v>
      </c>
      <c r="C46" s="2" t="s">
        <v>8</v>
      </c>
      <c r="D46" s="2" t="s">
        <v>70</v>
      </c>
      <c r="E46" s="2">
        <v>-30.028500000000001</v>
      </c>
      <c r="F46" s="2">
        <v>-51.231499999999997</v>
      </c>
      <c r="G46">
        <v>5.22</v>
      </c>
      <c r="H46">
        <v>13.01</v>
      </c>
      <c r="I46">
        <v>39.479999999999997</v>
      </c>
      <c r="J46">
        <v>30.85</v>
      </c>
      <c r="K46">
        <v>24.21</v>
      </c>
      <c r="L46">
        <v>12.92</v>
      </c>
      <c r="M46">
        <v>7.17</v>
      </c>
      <c r="N46">
        <v>48.32</v>
      </c>
      <c r="O46">
        <v>13.01</v>
      </c>
      <c r="P46">
        <v>12.06</v>
      </c>
      <c r="Q46">
        <v>30.92</v>
      </c>
      <c r="R46">
        <v>12.81</v>
      </c>
      <c r="S46">
        <v>19.87</v>
      </c>
      <c r="T46">
        <v>23.28</v>
      </c>
      <c r="U46">
        <v>20.27</v>
      </c>
      <c r="V46">
        <v>6.12</v>
      </c>
      <c r="W46">
        <v>0.36</v>
      </c>
      <c r="X46">
        <v>1.76</v>
      </c>
      <c r="Y46">
        <v>2.57</v>
      </c>
      <c r="Z46">
        <v>6.4</v>
      </c>
      <c r="AA46">
        <v>15.55</v>
      </c>
      <c r="AB46">
        <v>15.9</v>
      </c>
      <c r="AC46">
        <v>24.73</v>
      </c>
      <c r="AD46">
        <v>25.95</v>
      </c>
      <c r="AE46">
        <v>42.26</v>
      </c>
      <c r="AF46">
        <v>42.83</v>
      </c>
      <c r="AG46">
        <v>48.58</v>
      </c>
      <c r="AH46">
        <v>47.93</v>
      </c>
      <c r="AI46">
        <v>30.54</v>
      </c>
      <c r="AJ46">
        <v>32.549999999999997</v>
      </c>
      <c r="AK46">
        <v>39.369999999999997</v>
      </c>
      <c r="AL46">
        <v>38.479999999999997</v>
      </c>
      <c r="AM46">
        <v>40.56</v>
      </c>
      <c r="AN46">
        <v>33.590000000000003</v>
      </c>
      <c r="AO46">
        <v>39.71</v>
      </c>
      <c r="AP46">
        <v>15.15</v>
      </c>
      <c r="AQ46">
        <v>10.31</v>
      </c>
      <c r="AR46">
        <v>15.88</v>
      </c>
      <c r="AS46">
        <v>14.12</v>
      </c>
      <c r="AT46">
        <v>20.75</v>
      </c>
      <c r="AU46">
        <v>14.57</v>
      </c>
      <c r="AV46">
        <v>6.77</v>
      </c>
      <c r="AW46">
        <v>12.85</v>
      </c>
      <c r="AX46">
        <v>12.91</v>
      </c>
      <c r="AY46">
        <v>0</v>
      </c>
      <c r="AZ46">
        <v>6.25</v>
      </c>
      <c r="BA46">
        <v>39.17</v>
      </c>
    </row>
    <row r="47" spans="1:53" x14ac:dyDescent="0.25">
      <c r="A47" s="2" t="s">
        <v>13</v>
      </c>
      <c r="B47" s="2">
        <v>49</v>
      </c>
      <c r="C47" s="2" t="s">
        <v>8</v>
      </c>
      <c r="D47" s="2" t="s">
        <v>71</v>
      </c>
      <c r="E47" s="2">
        <v>-30.074999999999999</v>
      </c>
      <c r="F47" s="2">
        <v>-51.195</v>
      </c>
      <c r="G47">
        <v>1.81</v>
      </c>
      <c r="H47">
        <v>17.36</v>
      </c>
      <c r="I47">
        <v>43.87</v>
      </c>
      <c r="J47">
        <v>35.21</v>
      </c>
      <c r="K47">
        <v>23.92</v>
      </c>
      <c r="L47">
        <v>13.19</v>
      </c>
      <c r="M47">
        <v>7.95</v>
      </c>
      <c r="N47">
        <v>51.7</v>
      </c>
      <c r="O47">
        <v>17.239999999999998</v>
      </c>
      <c r="P47">
        <v>15.78</v>
      </c>
      <c r="Q47">
        <v>35.31</v>
      </c>
      <c r="R47">
        <v>16.98</v>
      </c>
      <c r="S47">
        <v>24.49</v>
      </c>
      <c r="T47">
        <v>27.4</v>
      </c>
      <c r="U47">
        <v>24.84</v>
      </c>
      <c r="V47">
        <v>3.08</v>
      </c>
      <c r="W47">
        <v>5.91</v>
      </c>
      <c r="X47">
        <v>5.96</v>
      </c>
      <c r="Y47">
        <v>5.59</v>
      </c>
      <c r="Z47">
        <v>6.07</v>
      </c>
      <c r="AA47">
        <v>17</v>
      </c>
      <c r="AB47">
        <v>17.09</v>
      </c>
      <c r="AC47">
        <v>24.28</v>
      </c>
      <c r="AD47">
        <v>25.38</v>
      </c>
      <c r="AE47">
        <v>45.97</v>
      </c>
      <c r="AF47">
        <v>46.48</v>
      </c>
      <c r="AG47">
        <v>51.93</v>
      </c>
      <c r="AH47">
        <v>51.34</v>
      </c>
      <c r="AI47">
        <v>34.85</v>
      </c>
      <c r="AJ47">
        <v>36.82</v>
      </c>
      <c r="AK47">
        <v>43.73</v>
      </c>
      <c r="AL47">
        <v>42.79</v>
      </c>
      <c r="AM47">
        <v>44.81</v>
      </c>
      <c r="AN47">
        <v>38.07</v>
      </c>
      <c r="AO47">
        <v>44.12</v>
      </c>
      <c r="AP47">
        <v>19.12</v>
      </c>
      <c r="AQ47">
        <v>14.49</v>
      </c>
      <c r="AR47">
        <v>19.62</v>
      </c>
      <c r="AS47">
        <v>9.6199999999999992</v>
      </c>
      <c r="AT47">
        <v>16.38</v>
      </c>
      <c r="AU47">
        <v>18.7</v>
      </c>
      <c r="AV47">
        <v>5.2</v>
      </c>
      <c r="AW47">
        <v>17.12</v>
      </c>
      <c r="AX47">
        <v>12.91</v>
      </c>
      <c r="AY47">
        <v>6.25</v>
      </c>
      <c r="AZ47">
        <v>0</v>
      </c>
      <c r="BA47">
        <v>43.55</v>
      </c>
    </row>
    <row r="48" spans="1:53" x14ac:dyDescent="0.25">
      <c r="A48" s="2" t="s">
        <v>17</v>
      </c>
      <c r="B48" s="2">
        <v>50</v>
      </c>
      <c r="C48" s="2" t="s">
        <v>3</v>
      </c>
      <c r="D48" s="2" t="s">
        <v>72</v>
      </c>
      <c r="E48" s="2">
        <v>-29.6875</v>
      </c>
      <c r="F48" s="2">
        <v>-51.1295</v>
      </c>
      <c r="G48">
        <v>41.75</v>
      </c>
      <c r="H48">
        <v>26.28</v>
      </c>
      <c r="I48">
        <v>0.34</v>
      </c>
      <c r="J48">
        <v>8.34</v>
      </c>
      <c r="K48">
        <v>30.56</v>
      </c>
      <c r="L48">
        <v>50.79</v>
      </c>
      <c r="M48">
        <v>36</v>
      </c>
      <c r="N48">
        <v>12.68</v>
      </c>
      <c r="O48">
        <v>26.35</v>
      </c>
      <c r="P48">
        <v>27.77</v>
      </c>
      <c r="Q48">
        <v>8.26</v>
      </c>
      <c r="R48">
        <v>26.6</v>
      </c>
      <c r="S48">
        <v>19.3</v>
      </c>
      <c r="T48">
        <v>16.170000000000002</v>
      </c>
      <c r="U48">
        <v>18.91</v>
      </c>
      <c r="V48">
        <v>40.93</v>
      </c>
      <c r="W48">
        <v>39.32</v>
      </c>
      <c r="X48">
        <v>38.29</v>
      </c>
      <c r="Y48">
        <v>38.28</v>
      </c>
      <c r="Z48">
        <v>37.909999999999997</v>
      </c>
      <c r="AA48">
        <v>28.76</v>
      </c>
      <c r="AB48">
        <v>29.16</v>
      </c>
      <c r="AC48">
        <v>31.13</v>
      </c>
      <c r="AD48">
        <v>31.53</v>
      </c>
      <c r="AE48">
        <v>6.61</v>
      </c>
      <c r="AF48">
        <v>7.33</v>
      </c>
      <c r="AG48">
        <v>13.01</v>
      </c>
      <c r="AH48">
        <v>12.24</v>
      </c>
      <c r="AI48">
        <v>8.6999999999999993</v>
      </c>
      <c r="AJ48">
        <v>6.75</v>
      </c>
      <c r="AK48">
        <v>0.22</v>
      </c>
      <c r="AL48">
        <v>0.94</v>
      </c>
      <c r="AM48">
        <v>1.75</v>
      </c>
      <c r="AN48">
        <v>5.61</v>
      </c>
      <c r="AO48">
        <v>0.66</v>
      </c>
      <c r="AP48">
        <v>24.43</v>
      </c>
      <c r="AQ48">
        <v>29.13</v>
      </c>
      <c r="AR48">
        <v>23.98</v>
      </c>
      <c r="AS48">
        <v>43.22</v>
      </c>
      <c r="AT48">
        <v>45.01</v>
      </c>
      <c r="AU48">
        <v>24.86</v>
      </c>
      <c r="AV48">
        <v>39.1</v>
      </c>
      <c r="AW48">
        <v>26.49</v>
      </c>
      <c r="AX48">
        <v>50.99</v>
      </c>
      <c r="AY48">
        <v>39.17</v>
      </c>
      <c r="AZ48">
        <v>43.55</v>
      </c>
      <c r="BA48">
        <v>0</v>
      </c>
    </row>
    <row r="49" spans="3:6" x14ac:dyDescent="0.25">
      <c r="C49" s="2" t="s">
        <v>2</v>
      </c>
      <c r="D49" s="2" t="s">
        <v>73</v>
      </c>
      <c r="E49" s="2">
        <v>-29.679500000000001</v>
      </c>
      <c r="F49" s="2">
        <v>-51.061500000000002</v>
      </c>
    </row>
    <row r="50" spans="3:6" x14ac:dyDescent="0.25">
      <c r="C50" s="2" t="s">
        <v>6</v>
      </c>
      <c r="D50" s="2" t="s">
        <v>74</v>
      </c>
      <c r="E50" s="2">
        <v>-29.850999999999999</v>
      </c>
      <c r="F50" s="2">
        <v>-51.183</v>
      </c>
    </row>
    <row r="51" spans="3:6" x14ac:dyDescent="0.25">
      <c r="C51" s="2" t="s">
        <v>25</v>
      </c>
      <c r="D51" s="2" t="s">
        <v>75</v>
      </c>
      <c r="E51" s="2">
        <v>-29.764500000000002</v>
      </c>
      <c r="F51" s="2">
        <v>-51.149500000000003</v>
      </c>
    </row>
  </sheetData>
  <autoFilter ref="A1:BA48" xr:uid="{EEE44880-6304-49A2-AFBB-4981C2BDECDD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EABA-3862-4D8C-A0AD-B000008F61D8}">
  <sheetPr codeName="Planilha7"/>
  <dimension ref="B1:P149"/>
  <sheetViews>
    <sheetView showGridLines="0" showRowColHeaders="0" tabSelected="1" zoomScale="90" zoomScaleNormal="90" workbookViewId="0">
      <pane ySplit="4" topLeftCell="A5" activePane="bottomLeft" state="frozen"/>
      <selection pane="bottomLeft" activeCell="G12" sqref="G12"/>
    </sheetView>
  </sheetViews>
  <sheetFormatPr defaultRowHeight="15" x14ac:dyDescent="0.25"/>
  <cols>
    <col min="1" max="1" width="1.7109375" customWidth="1"/>
    <col min="2" max="2" width="19.140625" customWidth="1"/>
    <col min="3" max="3" width="9.140625" bestFit="1" customWidth="1"/>
    <col min="4" max="4" width="18.42578125" customWidth="1"/>
    <col min="5" max="5" width="11.7109375" customWidth="1"/>
    <col min="6" max="6" width="10" customWidth="1"/>
    <col min="7" max="7" width="11.7109375" customWidth="1"/>
    <col min="8" max="8" width="14.42578125" customWidth="1"/>
    <col min="9" max="9" width="3.28515625" customWidth="1"/>
    <col min="10" max="10" width="16" style="2" customWidth="1"/>
    <col min="11" max="11" width="9.140625" style="2" bestFit="1" customWidth="1"/>
    <col min="12" max="12" width="24.5703125" style="2" customWidth="1"/>
    <col min="13" max="13" width="10.85546875" customWidth="1"/>
    <col min="14" max="14" width="11.140625" style="2" customWidth="1"/>
    <col min="15" max="15" width="11.42578125" style="2" bestFit="1" customWidth="1"/>
    <col min="16" max="16" width="18.140625" style="2" bestFit="1" customWidth="1"/>
  </cols>
  <sheetData>
    <row r="1" spans="2:16" ht="8.25" customHeight="1" thickBot="1" x14ac:dyDescent="0.3">
      <c r="J1"/>
      <c r="K1"/>
      <c r="L1"/>
      <c r="N1"/>
      <c r="O1"/>
      <c r="P1"/>
    </row>
    <row r="2" spans="2:16" ht="24" thickBot="1" x14ac:dyDescent="0.4">
      <c r="B2" s="16" t="s">
        <v>18</v>
      </c>
      <c r="C2" s="6"/>
      <c r="D2" s="6"/>
      <c r="E2" s="7">
        <v>6</v>
      </c>
      <c r="F2" s="9" t="s">
        <v>19</v>
      </c>
      <c r="J2" s="16" t="s">
        <v>20</v>
      </c>
      <c r="K2" s="8"/>
      <c r="L2" s="8"/>
      <c r="M2" s="7">
        <v>25</v>
      </c>
      <c r="N2" s="9" t="s">
        <v>19</v>
      </c>
      <c r="O2"/>
      <c r="P2"/>
    </row>
    <row r="3" spans="2:16" ht="12.75" customHeight="1" x14ac:dyDescent="0.35">
      <c r="B3" s="13"/>
      <c r="E3" s="14"/>
      <c r="F3" s="9"/>
      <c r="J3" s="13"/>
      <c r="K3" s="15"/>
      <c r="L3" s="15"/>
      <c r="M3" s="14"/>
      <c r="N3" s="9"/>
      <c r="O3"/>
      <c r="P3"/>
    </row>
    <row r="4" spans="2:16" x14ac:dyDescent="0.25">
      <c r="B4" s="3" t="s">
        <v>83</v>
      </c>
      <c r="C4" s="3" t="s">
        <v>77</v>
      </c>
      <c r="D4" s="3" t="s">
        <v>78</v>
      </c>
      <c r="E4" s="3" t="s">
        <v>79</v>
      </c>
      <c r="F4" s="3" t="s">
        <v>80</v>
      </c>
      <c r="G4" s="3" t="s">
        <v>81</v>
      </c>
      <c r="H4" s="3" t="s">
        <v>84</v>
      </c>
      <c r="J4" s="3" t="s">
        <v>76</v>
      </c>
      <c r="K4" s="3" t="s">
        <v>77</v>
      </c>
      <c r="L4" s="3" t="s">
        <v>78</v>
      </c>
      <c r="M4" s="3" t="s">
        <v>79</v>
      </c>
      <c r="N4" s="3" t="s">
        <v>80</v>
      </c>
      <c r="O4" s="3" t="s">
        <v>81</v>
      </c>
      <c r="P4" s="3" t="s">
        <v>82</v>
      </c>
    </row>
    <row r="5" spans="2:16" x14ac:dyDescent="0.25">
      <c r="B5" s="12" t="str">
        <f>VLOOKUP(C5,CHOOSE({1,2},Matriz!B:B,Matriz!A:A),2,0)</f>
        <v>CENTRO-NORTE</v>
      </c>
      <c r="C5" s="10">
        <f>E2</f>
        <v>6</v>
      </c>
      <c r="D5" s="10" t="str">
        <f>VLOOKUP(C5,Matriz!B:C,2,FALSE)</f>
        <v>Guaíba</v>
      </c>
      <c r="E5" s="11" t="str">
        <f>VLOOKUP(C5,Matriz!B:D,3,FALSE)</f>
        <v>Rua João Rodrigues, 210</v>
      </c>
      <c r="F5" s="10">
        <f>VLOOKUP(C5,Matriz!B:E,4,FALSE)</f>
        <v>-30.111499999999999</v>
      </c>
      <c r="G5" s="10">
        <f>VLOOKUP(C5,Matriz!B:F,5,FALSE)</f>
        <v>-51.325499999999998</v>
      </c>
      <c r="H5" s="10"/>
      <c r="J5" s="12" t="str">
        <f>VLOOKUP(C5,CHOOSE({1,2},Matriz!B:B,Matriz!A:A),2,0)</f>
        <v>CENTRO-NORTE</v>
      </c>
      <c r="K5" s="10">
        <f>E2</f>
        <v>6</v>
      </c>
      <c r="L5" s="10" t="str">
        <f>VLOOKUP(K5,Matriz!B:C,2,FALSE)</f>
        <v>Guaíba</v>
      </c>
      <c r="M5" s="11" t="str">
        <f>VLOOKUP(K5,Matriz!B:D,3,FALSE)</f>
        <v>Rua João Rodrigues, 210</v>
      </c>
      <c r="N5" s="10">
        <f>VLOOKUP(K5,Matriz!B:E,4,FALSE)</f>
        <v>-30.111499999999999</v>
      </c>
      <c r="O5" s="10">
        <f>VLOOKUP(K5,Matriz!B:F,5,FALSE)</f>
        <v>-51.325499999999998</v>
      </c>
      <c r="P5" s="10"/>
    </row>
    <row r="6" spans="2:16" x14ac:dyDescent="0.25">
      <c r="B6" s="2" t="s">
        <v>17</v>
      </c>
      <c r="C6" s="2">
        <v>47</v>
      </c>
      <c r="D6" s="2" t="s">
        <v>29</v>
      </c>
      <c r="E6" t="s">
        <v>69</v>
      </c>
      <c r="F6" s="2">
        <v>-30.114999999999998</v>
      </c>
      <c r="G6" s="2">
        <v>-51.320999999999998</v>
      </c>
      <c r="H6" s="2">
        <v>0.57999999999999996</v>
      </c>
      <c r="J6" s="2" t="s">
        <v>17</v>
      </c>
      <c r="K6" s="2">
        <v>47</v>
      </c>
      <c r="L6" s="2" t="s">
        <v>29</v>
      </c>
      <c r="M6" t="s">
        <v>69</v>
      </c>
      <c r="N6" s="2">
        <v>-30.114999999999998</v>
      </c>
      <c r="O6" s="2">
        <v>-51.320999999999998</v>
      </c>
      <c r="P6" s="2">
        <v>0.57999999999999996</v>
      </c>
    </row>
    <row r="7" spans="2:16" x14ac:dyDescent="0.25">
      <c r="B7" s="2" t="s">
        <v>14</v>
      </c>
      <c r="C7" s="2">
        <v>48</v>
      </c>
      <c r="D7" s="2" t="s">
        <v>8</v>
      </c>
      <c r="E7" t="s">
        <v>70</v>
      </c>
      <c r="F7" s="2">
        <v>-30.028500000000001</v>
      </c>
      <c r="G7" s="2">
        <v>-51.231499999999997</v>
      </c>
      <c r="H7" s="2">
        <v>12.92</v>
      </c>
      <c r="J7" s="2" t="s">
        <v>14</v>
      </c>
      <c r="K7" s="2">
        <v>48</v>
      </c>
      <c r="L7" s="2" t="s">
        <v>8</v>
      </c>
      <c r="M7" t="s">
        <v>70</v>
      </c>
      <c r="N7" s="2">
        <v>-30.028500000000001</v>
      </c>
      <c r="O7" s="2">
        <v>-51.231499999999997</v>
      </c>
      <c r="P7" s="2">
        <v>12.92</v>
      </c>
    </row>
    <row r="8" spans="2:16" x14ac:dyDescent="0.25">
      <c r="B8" s="2" t="s">
        <v>16</v>
      </c>
      <c r="C8" s="2">
        <v>18</v>
      </c>
      <c r="D8" s="2" t="s">
        <v>8</v>
      </c>
      <c r="E8" t="s">
        <v>41</v>
      </c>
      <c r="F8" s="2">
        <v>-30.0305</v>
      </c>
      <c r="G8" s="2">
        <v>-51.228499999999997</v>
      </c>
      <c r="H8" s="2">
        <v>12.97</v>
      </c>
      <c r="J8" s="2" t="s">
        <v>16</v>
      </c>
      <c r="K8" s="2">
        <v>18</v>
      </c>
      <c r="L8" s="2" t="s">
        <v>8</v>
      </c>
      <c r="M8" t="s">
        <v>41</v>
      </c>
      <c r="N8" s="2">
        <v>-30.0305</v>
      </c>
      <c r="O8" s="2">
        <v>-51.228499999999997</v>
      </c>
      <c r="P8" s="2">
        <v>12.97</v>
      </c>
    </row>
    <row r="9" spans="2:16" x14ac:dyDescent="0.25">
      <c r="B9" s="2" t="s">
        <v>13</v>
      </c>
      <c r="C9" s="2">
        <v>49</v>
      </c>
      <c r="D9" s="2" t="s">
        <v>8</v>
      </c>
      <c r="E9" t="s">
        <v>71</v>
      </c>
      <c r="F9" s="2">
        <v>-30.074999999999999</v>
      </c>
      <c r="G9" s="2">
        <v>-51.195</v>
      </c>
      <c r="H9" s="2">
        <v>13.19</v>
      </c>
      <c r="J9" s="2" t="s">
        <v>13</v>
      </c>
      <c r="K9" s="2">
        <v>49</v>
      </c>
      <c r="L9" s="2" t="s">
        <v>8</v>
      </c>
      <c r="M9" t="s">
        <v>71</v>
      </c>
      <c r="N9" s="2">
        <v>-30.074999999999999</v>
      </c>
      <c r="O9" s="2">
        <v>-51.195</v>
      </c>
      <c r="P9" s="2">
        <v>13.19</v>
      </c>
    </row>
    <row r="10" spans="2:16" x14ac:dyDescent="0.25">
      <c r="B10" s="2" t="s">
        <v>17</v>
      </c>
      <c r="C10" s="2">
        <v>1</v>
      </c>
      <c r="D10" s="2" t="s">
        <v>8</v>
      </c>
      <c r="E10" t="s">
        <v>21</v>
      </c>
      <c r="F10" s="2">
        <v>-30.059200000000001</v>
      </c>
      <c r="G10" s="2">
        <v>-51.1905</v>
      </c>
      <c r="H10" s="2">
        <v>14.23</v>
      </c>
      <c r="J10" s="2" t="s">
        <v>17</v>
      </c>
      <c r="K10" s="2">
        <v>1</v>
      </c>
      <c r="L10" s="2" t="s">
        <v>8</v>
      </c>
      <c r="M10" t="s">
        <v>21</v>
      </c>
      <c r="N10" s="2">
        <v>-30.059200000000001</v>
      </c>
      <c r="O10" s="2">
        <v>-51.1905</v>
      </c>
      <c r="P10" s="2">
        <v>14.23</v>
      </c>
    </row>
    <row r="11" spans="2:16" x14ac:dyDescent="0.25">
      <c r="B11" s="2" t="s">
        <v>14</v>
      </c>
      <c r="C11" s="2">
        <v>19</v>
      </c>
      <c r="D11" s="2" t="s">
        <v>8</v>
      </c>
      <c r="E11" t="s">
        <v>42</v>
      </c>
      <c r="F11" s="2">
        <v>-30.024000000000001</v>
      </c>
      <c r="G11" s="2">
        <v>-51.213999999999999</v>
      </c>
      <c r="H11" s="2">
        <v>14.48</v>
      </c>
      <c r="J11" s="2" t="s">
        <v>14</v>
      </c>
      <c r="K11" s="2">
        <v>19</v>
      </c>
      <c r="L11" s="2" t="s">
        <v>8</v>
      </c>
      <c r="M11" t="s">
        <v>42</v>
      </c>
      <c r="N11" s="2">
        <v>-30.024000000000001</v>
      </c>
      <c r="O11" s="2">
        <v>-51.213999999999999</v>
      </c>
      <c r="P11" s="2">
        <v>14.48</v>
      </c>
    </row>
    <row r="12" spans="2:16" x14ac:dyDescent="0.25">
      <c r="B12" s="2" t="s">
        <v>14</v>
      </c>
      <c r="C12" s="2">
        <v>20</v>
      </c>
      <c r="D12" s="2" t="s">
        <v>8</v>
      </c>
      <c r="E12" t="s">
        <v>43</v>
      </c>
      <c r="F12" s="2">
        <v>-30.025500000000001</v>
      </c>
      <c r="G12" s="2">
        <v>-51.204999999999998</v>
      </c>
      <c r="H12" s="2">
        <v>15.03</v>
      </c>
      <c r="J12" s="2" t="s">
        <v>14</v>
      </c>
      <c r="K12" s="2">
        <v>20</v>
      </c>
      <c r="L12" s="2" t="s">
        <v>8</v>
      </c>
      <c r="M12" t="s">
        <v>43</v>
      </c>
      <c r="N12" s="2">
        <v>-30.025500000000001</v>
      </c>
      <c r="O12" s="2">
        <v>-51.204999999999998</v>
      </c>
      <c r="P12" s="2">
        <v>15.03</v>
      </c>
    </row>
    <row r="13" spans="2:16" x14ac:dyDescent="0.25">
      <c r="B13" s="2" t="s">
        <v>17</v>
      </c>
      <c r="C13" s="2">
        <v>17</v>
      </c>
      <c r="D13" s="2" t="s">
        <v>8</v>
      </c>
      <c r="E13" t="s">
        <v>40</v>
      </c>
      <c r="F13" s="2">
        <v>-30.0535</v>
      </c>
      <c r="G13" s="2">
        <v>-51.174799999999998</v>
      </c>
      <c r="H13" s="2">
        <v>15.87</v>
      </c>
      <c r="J13" s="2" t="s">
        <v>17</v>
      </c>
      <c r="K13" s="2">
        <v>17</v>
      </c>
      <c r="L13" s="2" t="s">
        <v>8</v>
      </c>
      <c r="M13" t="s">
        <v>40</v>
      </c>
      <c r="N13" s="2">
        <v>-30.0535</v>
      </c>
      <c r="O13" s="2">
        <v>-51.174799999999998</v>
      </c>
      <c r="P13" s="2">
        <v>15.87</v>
      </c>
    </row>
    <row r="14" spans="2:16" x14ac:dyDescent="0.25">
      <c r="B14" s="2" t="s">
        <v>13</v>
      </c>
      <c r="C14" s="2">
        <v>45</v>
      </c>
      <c r="D14" s="2" t="s">
        <v>8</v>
      </c>
      <c r="E14" t="s">
        <v>67</v>
      </c>
      <c r="F14" s="2">
        <v>-30.038</v>
      </c>
      <c r="G14" s="2">
        <v>-51.161999999999999</v>
      </c>
      <c r="H14" s="2">
        <v>17.73</v>
      </c>
      <c r="J14" s="2" t="s">
        <v>13</v>
      </c>
      <c r="K14" s="2">
        <v>45</v>
      </c>
      <c r="L14" s="2" t="s">
        <v>8</v>
      </c>
      <c r="M14" t="s">
        <v>67</v>
      </c>
      <c r="N14" s="2">
        <v>-30.038</v>
      </c>
      <c r="O14" s="2">
        <v>-51.161999999999999</v>
      </c>
      <c r="P14" s="2">
        <v>17.73</v>
      </c>
    </row>
    <row r="15" spans="2:16" x14ac:dyDescent="0.25">
      <c r="B15" s="2" t="s">
        <v>15</v>
      </c>
      <c r="C15" s="2">
        <v>21</v>
      </c>
      <c r="D15" s="2" t="s">
        <v>8</v>
      </c>
      <c r="E15" t="s">
        <v>44</v>
      </c>
      <c r="F15" s="2">
        <v>-30.027000000000001</v>
      </c>
      <c r="G15" s="2">
        <v>-51.164999999999999</v>
      </c>
      <c r="H15" s="2">
        <v>18.079999999999998</v>
      </c>
      <c r="J15" s="2" t="s">
        <v>15</v>
      </c>
      <c r="K15" s="2">
        <v>21</v>
      </c>
      <c r="L15" s="2" t="s">
        <v>8</v>
      </c>
      <c r="M15" t="s">
        <v>44</v>
      </c>
      <c r="N15" s="2">
        <v>-30.027000000000001</v>
      </c>
      <c r="O15" s="2">
        <v>-51.164999999999999</v>
      </c>
      <c r="P15" s="2">
        <v>18.079999999999998</v>
      </c>
    </row>
    <row r="16" spans="2:16" x14ac:dyDescent="0.25">
      <c r="B16" s="2" t="s">
        <v>14</v>
      </c>
      <c r="C16" s="2">
        <v>7</v>
      </c>
      <c r="D16" s="2" t="s">
        <v>8</v>
      </c>
      <c r="E16" t="s">
        <v>30</v>
      </c>
      <c r="F16" s="2">
        <v>-30.010200000000001</v>
      </c>
      <c r="G16" s="2">
        <v>-51.1601</v>
      </c>
      <c r="H16" s="2">
        <v>19.5</v>
      </c>
      <c r="J16" s="2" t="s">
        <v>14</v>
      </c>
      <c r="K16" s="2">
        <v>7</v>
      </c>
      <c r="L16" s="2" t="s">
        <v>8</v>
      </c>
      <c r="M16" t="s">
        <v>30</v>
      </c>
      <c r="N16" s="2">
        <v>-30.010200000000001</v>
      </c>
      <c r="O16" s="2">
        <v>-51.1601</v>
      </c>
      <c r="P16" s="2">
        <v>19.5</v>
      </c>
    </row>
    <row r="17" spans="2:16" x14ac:dyDescent="0.25">
      <c r="B17" s="2" t="s">
        <v>15</v>
      </c>
      <c r="C17" s="2">
        <v>42</v>
      </c>
      <c r="D17" s="2" t="s">
        <v>64</v>
      </c>
      <c r="E17" t="s">
        <v>63</v>
      </c>
      <c r="F17" s="2">
        <v>-30.074999999999999</v>
      </c>
      <c r="G17" s="2">
        <v>-51.094999999999999</v>
      </c>
      <c r="H17" s="2">
        <v>22.54</v>
      </c>
      <c r="J17" s="2" t="s">
        <v>15</v>
      </c>
      <c r="K17" s="2">
        <v>42</v>
      </c>
      <c r="L17" s="2" t="s">
        <v>64</v>
      </c>
      <c r="M17" t="s">
        <v>63</v>
      </c>
      <c r="N17" s="2">
        <v>-30.074999999999999</v>
      </c>
      <c r="O17" s="2">
        <v>-51.094999999999999</v>
      </c>
      <c r="P17" s="2">
        <v>22.54</v>
      </c>
    </row>
    <row r="18" spans="2:16" x14ac:dyDescent="0.25">
      <c r="B18" s="2" t="s">
        <v>17</v>
      </c>
      <c r="C18" s="2">
        <v>40</v>
      </c>
      <c r="D18" s="2" t="s">
        <v>7</v>
      </c>
      <c r="E18" t="s">
        <v>61</v>
      </c>
      <c r="F18" s="2">
        <v>-29.945</v>
      </c>
      <c r="G18" s="2">
        <v>-51.185000000000002</v>
      </c>
      <c r="H18" s="2">
        <v>22.93</v>
      </c>
      <c r="J18" s="2" t="s">
        <v>17</v>
      </c>
      <c r="K18" s="2">
        <v>40</v>
      </c>
      <c r="L18" s="2" t="s">
        <v>7</v>
      </c>
      <c r="M18" t="s">
        <v>61</v>
      </c>
      <c r="N18" s="2">
        <v>-29.945</v>
      </c>
      <c r="O18" s="2">
        <v>-51.185000000000002</v>
      </c>
      <c r="P18" s="2">
        <v>22.93</v>
      </c>
    </row>
    <row r="19" spans="2:16" x14ac:dyDescent="0.25">
      <c r="B19" s="2" t="s">
        <v>13</v>
      </c>
      <c r="C19" s="2">
        <v>10</v>
      </c>
      <c r="D19" s="2" t="s">
        <v>7</v>
      </c>
      <c r="E19" t="s">
        <v>33</v>
      </c>
      <c r="F19" s="2">
        <v>-29.934999999999999</v>
      </c>
      <c r="G19" s="2">
        <v>-51.167999999999999</v>
      </c>
      <c r="H19" s="2">
        <v>24.8</v>
      </c>
      <c r="J19" s="2" t="s">
        <v>13</v>
      </c>
      <c r="K19" s="2">
        <v>10</v>
      </c>
      <c r="L19" s="2" t="s">
        <v>7</v>
      </c>
      <c r="M19" t="s">
        <v>33</v>
      </c>
      <c r="N19" s="2">
        <v>-29.934999999999999</v>
      </c>
      <c r="O19" s="2">
        <v>-51.167999999999999</v>
      </c>
      <c r="P19" s="2">
        <v>24.8</v>
      </c>
    </row>
    <row r="20" spans="2:16" x14ac:dyDescent="0.25">
      <c r="B20" s="2" t="s">
        <v>15</v>
      </c>
      <c r="C20" s="2">
        <v>46</v>
      </c>
      <c r="D20" s="2" t="s">
        <v>7</v>
      </c>
      <c r="E20" t="s">
        <v>68</v>
      </c>
      <c r="F20" s="2">
        <v>-29.921500000000002</v>
      </c>
      <c r="G20" s="2">
        <v>-51.180999999999997</v>
      </c>
      <c r="H20" s="2">
        <v>25.3</v>
      </c>
    </row>
    <row r="21" spans="2:16" x14ac:dyDescent="0.25">
      <c r="B21" s="2" t="s">
        <v>13</v>
      </c>
      <c r="C21" s="2">
        <v>13</v>
      </c>
      <c r="D21" s="2" t="s">
        <v>7</v>
      </c>
      <c r="E21" t="s">
        <v>35</v>
      </c>
      <c r="F21" s="2">
        <v>-29.922999999999998</v>
      </c>
      <c r="G21" s="2">
        <v>-51.177999999999997</v>
      </c>
      <c r="H21" s="2">
        <v>25.32</v>
      </c>
    </row>
    <row r="22" spans="2:16" x14ac:dyDescent="0.25">
      <c r="B22" s="2" t="s">
        <v>14</v>
      </c>
      <c r="C22" s="2">
        <v>2</v>
      </c>
      <c r="D22" s="2" t="s">
        <v>7</v>
      </c>
      <c r="E22" t="s">
        <v>22</v>
      </c>
      <c r="F22" s="2">
        <v>-29.9192</v>
      </c>
      <c r="G22" s="2">
        <v>-51.183399999999999</v>
      </c>
      <c r="H22" s="2">
        <v>25.39</v>
      </c>
    </row>
    <row r="23" spans="2:16" x14ac:dyDescent="0.25">
      <c r="B23" s="2" t="s">
        <v>14</v>
      </c>
      <c r="C23" s="2">
        <v>9</v>
      </c>
      <c r="D23" s="2" t="s">
        <v>7</v>
      </c>
      <c r="E23" t="s">
        <v>32</v>
      </c>
      <c r="F23" s="2">
        <v>-29.920500000000001</v>
      </c>
      <c r="G23" s="2">
        <v>-51.179499999999997</v>
      </c>
      <c r="H23" s="2">
        <v>25.47</v>
      </c>
    </row>
    <row r="24" spans="2:16" x14ac:dyDescent="0.25">
      <c r="B24" s="2" t="s">
        <v>13</v>
      </c>
      <c r="C24" s="2">
        <v>44</v>
      </c>
      <c r="D24" s="2" t="s">
        <v>7</v>
      </c>
      <c r="E24" t="s">
        <v>66</v>
      </c>
      <c r="F24" s="2">
        <v>-29.908000000000001</v>
      </c>
      <c r="G24" s="2">
        <v>-51.171999999999997</v>
      </c>
      <c r="H24" s="2">
        <v>27.03</v>
      </c>
    </row>
    <row r="25" spans="2:16" x14ac:dyDescent="0.25">
      <c r="B25" s="2" t="s">
        <v>16</v>
      </c>
      <c r="C25" s="2">
        <v>39</v>
      </c>
      <c r="D25" s="2" t="s">
        <v>7</v>
      </c>
      <c r="E25" t="s">
        <v>60</v>
      </c>
      <c r="F25" s="2">
        <v>-29.905000000000001</v>
      </c>
      <c r="G25" s="2">
        <v>-51.164999999999999</v>
      </c>
      <c r="H25" s="2">
        <v>27.68</v>
      </c>
    </row>
    <row r="26" spans="2:16" x14ac:dyDescent="0.25">
      <c r="B26" s="2" t="s">
        <v>17</v>
      </c>
      <c r="C26" s="2">
        <v>23</v>
      </c>
      <c r="D26" s="2" t="s">
        <v>4</v>
      </c>
      <c r="E26" t="s">
        <v>45</v>
      </c>
      <c r="F26" s="2">
        <v>-29.945</v>
      </c>
      <c r="G26" s="2">
        <v>-51.101999999999997</v>
      </c>
      <c r="H26" s="2">
        <v>28.39</v>
      </c>
    </row>
    <row r="27" spans="2:16" x14ac:dyDescent="0.25">
      <c r="B27" s="2" t="s">
        <v>15</v>
      </c>
      <c r="C27" s="2">
        <v>41</v>
      </c>
      <c r="D27" s="2" t="s">
        <v>7</v>
      </c>
      <c r="E27" t="s">
        <v>62</v>
      </c>
      <c r="F27" s="2">
        <v>-29.902000000000001</v>
      </c>
      <c r="G27" s="2">
        <v>-51.155000000000001</v>
      </c>
      <c r="H27" s="2">
        <v>28.5</v>
      </c>
    </row>
    <row r="28" spans="2:16" x14ac:dyDescent="0.25">
      <c r="B28" s="2" t="s">
        <v>17</v>
      </c>
      <c r="C28" s="2">
        <v>24</v>
      </c>
      <c r="D28" s="2" t="s">
        <v>4</v>
      </c>
      <c r="E28" t="s">
        <v>46</v>
      </c>
      <c r="F28" s="2">
        <v>-29.948</v>
      </c>
      <c r="G28" s="2">
        <v>-51.094999999999999</v>
      </c>
      <c r="H28" s="2">
        <v>28.69</v>
      </c>
    </row>
    <row r="29" spans="2:16" x14ac:dyDescent="0.25">
      <c r="B29" s="2" t="s">
        <v>17</v>
      </c>
      <c r="C29" s="2">
        <v>43</v>
      </c>
      <c r="D29" s="2" t="s">
        <v>64</v>
      </c>
      <c r="E29" t="s">
        <v>65</v>
      </c>
      <c r="F29" s="2">
        <v>-30.082000000000001</v>
      </c>
      <c r="G29" s="2">
        <v>-51.024999999999999</v>
      </c>
      <c r="H29" s="2">
        <v>29.09</v>
      </c>
    </row>
    <row r="30" spans="2:16" x14ac:dyDescent="0.25">
      <c r="B30" s="2" t="s">
        <v>14</v>
      </c>
      <c r="C30" s="2">
        <v>14</v>
      </c>
      <c r="D30" s="2" t="s">
        <v>6</v>
      </c>
      <c r="E30" t="s">
        <v>36</v>
      </c>
      <c r="F30" s="2">
        <v>-29.855</v>
      </c>
      <c r="G30" s="2">
        <v>-51.182000000000002</v>
      </c>
      <c r="H30" s="2">
        <v>31.69</v>
      </c>
    </row>
    <row r="31" spans="2:16" x14ac:dyDescent="0.25">
      <c r="B31" s="2" t="s">
        <v>15</v>
      </c>
      <c r="C31" s="2">
        <v>16</v>
      </c>
      <c r="D31" s="2" t="s">
        <v>6</v>
      </c>
      <c r="E31" t="s">
        <v>39</v>
      </c>
      <c r="F31" s="2">
        <v>-29.852</v>
      </c>
      <c r="G31" s="2">
        <v>-51.179000000000002</v>
      </c>
      <c r="H31" s="2">
        <v>32.119999999999997</v>
      </c>
    </row>
    <row r="32" spans="2:16" x14ac:dyDescent="0.25">
      <c r="B32" s="2" t="s">
        <v>14</v>
      </c>
      <c r="C32" s="2">
        <v>15</v>
      </c>
      <c r="D32" s="2" t="s">
        <v>38</v>
      </c>
      <c r="E32" t="s">
        <v>37</v>
      </c>
      <c r="F32" s="2">
        <v>-29.832000000000001</v>
      </c>
      <c r="G32" s="2">
        <v>-51.148000000000003</v>
      </c>
      <c r="H32" s="2">
        <v>35.47</v>
      </c>
    </row>
    <row r="33" spans="2:8" x14ac:dyDescent="0.25">
      <c r="B33" s="2" t="s">
        <v>13</v>
      </c>
      <c r="C33" s="2">
        <v>5</v>
      </c>
      <c r="D33" s="2" t="s">
        <v>27</v>
      </c>
      <c r="E33" t="s">
        <v>26</v>
      </c>
      <c r="F33" s="2">
        <v>-29.9392</v>
      </c>
      <c r="G33" s="2">
        <v>-51.002299999999998</v>
      </c>
      <c r="H33" s="2">
        <v>36.54</v>
      </c>
    </row>
    <row r="34" spans="2:8" x14ac:dyDescent="0.25">
      <c r="B34" s="2" t="s">
        <v>14</v>
      </c>
      <c r="C34" s="2">
        <v>25</v>
      </c>
      <c r="D34" s="2" t="s">
        <v>27</v>
      </c>
      <c r="E34" t="s">
        <v>47</v>
      </c>
      <c r="F34" s="2">
        <v>-29.942</v>
      </c>
      <c r="G34" s="2">
        <v>-50.994999999999997</v>
      </c>
      <c r="H34" s="2">
        <v>36.979999999999997</v>
      </c>
    </row>
    <row r="35" spans="2:8" x14ac:dyDescent="0.25">
      <c r="B35" s="2" t="s">
        <v>15</v>
      </c>
      <c r="C35" s="2">
        <v>26</v>
      </c>
      <c r="D35" s="2" t="s">
        <v>27</v>
      </c>
      <c r="E35" t="s">
        <v>48</v>
      </c>
      <c r="F35" s="2">
        <v>-29.9405</v>
      </c>
      <c r="G35" s="2">
        <v>-50.981999999999999</v>
      </c>
      <c r="H35" s="2">
        <v>38.15</v>
      </c>
    </row>
    <row r="36" spans="2:8" x14ac:dyDescent="0.25">
      <c r="B36" s="2" t="s">
        <v>16</v>
      </c>
      <c r="C36" s="2">
        <v>32</v>
      </c>
      <c r="D36" s="2" t="s">
        <v>25</v>
      </c>
      <c r="E36" t="s">
        <v>53</v>
      </c>
      <c r="F36" s="2">
        <v>-29.765000000000001</v>
      </c>
      <c r="G36" s="2">
        <v>-51.142000000000003</v>
      </c>
      <c r="H36" s="2">
        <v>42.39</v>
      </c>
    </row>
    <row r="37" spans="2:8" x14ac:dyDescent="0.25">
      <c r="B37" s="2" t="s">
        <v>17</v>
      </c>
      <c r="C37" s="2">
        <v>4</v>
      </c>
      <c r="D37" s="2" t="s">
        <v>25</v>
      </c>
      <c r="E37" t="s">
        <v>24</v>
      </c>
      <c r="F37" s="2">
        <v>-29.761199999999999</v>
      </c>
      <c r="G37" s="2">
        <v>-51.145800000000001</v>
      </c>
      <c r="H37" s="2">
        <v>42.63</v>
      </c>
    </row>
    <row r="38" spans="2:8" x14ac:dyDescent="0.25">
      <c r="B38" s="2" t="s">
        <v>14</v>
      </c>
      <c r="C38" s="2">
        <v>12</v>
      </c>
      <c r="D38" s="2" t="s">
        <v>25</v>
      </c>
      <c r="E38" t="s">
        <v>34</v>
      </c>
      <c r="F38" s="2">
        <v>-29.760100000000001</v>
      </c>
      <c r="G38" s="2">
        <v>-51.147500000000001</v>
      </c>
      <c r="H38" s="2">
        <v>42.67</v>
      </c>
    </row>
    <row r="39" spans="2:8" x14ac:dyDescent="0.25">
      <c r="B39" s="2" t="s">
        <v>16</v>
      </c>
      <c r="C39" s="2">
        <v>33</v>
      </c>
      <c r="D39" s="2" t="s">
        <v>25</v>
      </c>
      <c r="E39" t="s">
        <v>54</v>
      </c>
      <c r="F39" s="2">
        <v>-29.748000000000001</v>
      </c>
      <c r="G39" s="2">
        <v>-51.134999999999998</v>
      </c>
      <c r="H39" s="2">
        <v>44.39</v>
      </c>
    </row>
    <row r="40" spans="2:8" x14ac:dyDescent="0.25">
      <c r="B40" s="2" t="s">
        <v>14</v>
      </c>
      <c r="C40" s="2">
        <v>37</v>
      </c>
      <c r="D40" s="2" t="s">
        <v>25</v>
      </c>
      <c r="E40" t="s">
        <v>58</v>
      </c>
      <c r="F40" s="2">
        <v>-29.734999999999999</v>
      </c>
      <c r="G40" s="2">
        <v>-51.149000000000001</v>
      </c>
      <c r="H40" s="2">
        <v>45.19</v>
      </c>
    </row>
    <row r="41" spans="2:8" x14ac:dyDescent="0.25">
      <c r="B41" s="2" t="s">
        <v>13</v>
      </c>
      <c r="C41" s="2">
        <v>35</v>
      </c>
      <c r="D41" s="2" t="s">
        <v>3</v>
      </c>
      <c r="E41" t="s">
        <v>56</v>
      </c>
      <c r="F41" s="2">
        <v>-29.695</v>
      </c>
      <c r="G41" s="2">
        <v>-51.125</v>
      </c>
      <c r="H41" s="2">
        <v>50.18</v>
      </c>
    </row>
    <row r="42" spans="2:8" x14ac:dyDescent="0.25">
      <c r="B42" s="2" t="s">
        <v>17</v>
      </c>
      <c r="C42" s="2">
        <v>50</v>
      </c>
      <c r="D42" s="2" t="s">
        <v>3</v>
      </c>
      <c r="E42" t="s">
        <v>72</v>
      </c>
      <c r="F42" s="2">
        <v>-29.6875</v>
      </c>
      <c r="G42" s="2">
        <v>-51.1295</v>
      </c>
      <c r="H42" s="2">
        <v>50.79</v>
      </c>
    </row>
    <row r="43" spans="2:8" x14ac:dyDescent="0.25">
      <c r="B43" s="2" t="s">
        <v>13</v>
      </c>
      <c r="C43" s="2">
        <v>34</v>
      </c>
      <c r="D43" s="2" t="s">
        <v>3</v>
      </c>
      <c r="E43" t="s">
        <v>55</v>
      </c>
      <c r="F43" s="2">
        <v>-29.686</v>
      </c>
      <c r="G43" s="2">
        <v>-51.128</v>
      </c>
      <c r="H43" s="2">
        <v>51</v>
      </c>
    </row>
    <row r="44" spans="2:8" x14ac:dyDescent="0.25">
      <c r="B44" s="2" t="s">
        <v>13</v>
      </c>
      <c r="C44" s="2">
        <v>3</v>
      </c>
      <c r="D44" s="2" t="s">
        <v>3</v>
      </c>
      <c r="E44" t="s">
        <v>23</v>
      </c>
      <c r="F44" s="2">
        <v>-29.6845</v>
      </c>
      <c r="G44" s="2">
        <v>-51.130200000000002</v>
      </c>
      <c r="H44" s="2">
        <v>51.08</v>
      </c>
    </row>
    <row r="45" spans="2:8" x14ac:dyDescent="0.25">
      <c r="B45" s="2" t="s">
        <v>13</v>
      </c>
      <c r="C45" s="2">
        <v>38</v>
      </c>
      <c r="D45" s="2" t="s">
        <v>3</v>
      </c>
      <c r="E45" t="s">
        <v>59</v>
      </c>
      <c r="F45" s="2">
        <v>-29.681999999999999</v>
      </c>
      <c r="G45" s="2">
        <v>-51.131999999999998</v>
      </c>
      <c r="H45" s="2">
        <v>51.27</v>
      </c>
    </row>
    <row r="46" spans="2:8" x14ac:dyDescent="0.25">
      <c r="B46" s="2" t="s">
        <v>15</v>
      </c>
      <c r="C46" s="2">
        <v>36</v>
      </c>
      <c r="D46" s="2" t="s">
        <v>3</v>
      </c>
      <c r="E46" t="s">
        <v>57</v>
      </c>
      <c r="F46" s="2">
        <v>-29.678000000000001</v>
      </c>
      <c r="G46" s="2">
        <v>-51.115000000000002</v>
      </c>
      <c r="H46" s="2">
        <v>52.3</v>
      </c>
    </row>
    <row r="47" spans="2:8" x14ac:dyDescent="0.25">
      <c r="B47" s="2" t="s">
        <v>17</v>
      </c>
      <c r="C47" s="2">
        <v>27</v>
      </c>
      <c r="D47" s="2" t="s">
        <v>2</v>
      </c>
      <c r="E47" t="s">
        <v>49</v>
      </c>
      <c r="F47" s="2">
        <v>-29.678000000000001</v>
      </c>
      <c r="G47" s="2">
        <v>-51.061999999999998</v>
      </c>
      <c r="H47" s="2">
        <v>54.49</v>
      </c>
    </row>
    <row r="48" spans="2:8" x14ac:dyDescent="0.25">
      <c r="B48" s="2" t="s">
        <v>14</v>
      </c>
      <c r="C48" s="2">
        <v>29</v>
      </c>
      <c r="D48" s="2" t="s">
        <v>2</v>
      </c>
      <c r="E48" t="s">
        <v>50</v>
      </c>
      <c r="F48" s="2">
        <v>-29.675000000000001</v>
      </c>
      <c r="G48" s="2">
        <v>-51.055</v>
      </c>
      <c r="H48" s="2">
        <v>55.1</v>
      </c>
    </row>
    <row r="49" spans="2:8" x14ac:dyDescent="0.25">
      <c r="B49" s="2" t="s">
        <v>15</v>
      </c>
      <c r="C49" s="2">
        <v>31</v>
      </c>
      <c r="D49" s="2" t="s">
        <v>5</v>
      </c>
      <c r="E49" t="s">
        <v>52</v>
      </c>
      <c r="F49" s="2">
        <v>-29.640499999999999</v>
      </c>
      <c r="G49" s="2">
        <v>-51.015000000000001</v>
      </c>
      <c r="H49" s="2">
        <v>60.33</v>
      </c>
    </row>
    <row r="50" spans="2:8" x14ac:dyDescent="0.25">
      <c r="B50" s="2" t="s">
        <v>14</v>
      </c>
      <c r="C50" s="2">
        <v>8</v>
      </c>
      <c r="D50" s="2" t="s">
        <v>5</v>
      </c>
      <c r="E50" t="s">
        <v>31</v>
      </c>
      <c r="F50" s="2">
        <v>-29.638200000000001</v>
      </c>
      <c r="G50" s="2">
        <v>-51.011200000000002</v>
      </c>
      <c r="H50" s="2">
        <v>60.73</v>
      </c>
    </row>
    <row r="51" spans="2:8" x14ac:dyDescent="0.25">
      <c r="B51" s="2" t="s">
        <v>16</v>
      </c>
      <c r="C51" s="2">
        <v>30</v>
      </c>
      <c r="D51" s="2" t="s">
        <v>5</v>
      </c>
      <c r="E51" t="s">
        <v>51</v>
      </c>
      <c r="F51" s="2">
        <v>-29.637</v>
      </c>
      <c r="G51" s="2">
        <v>-51.008000000000003</v>
      </c>
      <c r="H51" s="2">
        <v>61</v>
      </c>
    </row>
    <row r="52" spans="2:8" x14ac:dyDescent="0.25">
      <c r="B52" s="2"/>
      <c r="C52" s="2"/>
      <c r="D52" s="2"/>
      <c r="F52" s="2"/>
      <c r="G52" s="2"/>
      <c r="H52" s="2"/>
    </row>
    <row r="53" spans="2:8" x14ac:dyDescent="0.25">
      <c r="B53" s="2"/>
      <c r="C53" s="2"/>
      <c r="D53" s="2"/>
      <c r="F53" s="2"/>
      <c r="G53" s="2"/>
      <c r="H53" s="2"/>
    </row>
    <row r="54" spans="2:8" x14ac:dyDescent="0.25">
      <c r="B54" s="2"/>
      <c r="C54" s="2"/>
      <c r="D54" s="2"/>
      <c r="F54" s="2"/>
      <c r="G54" s="2"/>
      <c r="H54" s="2"/>
    </row>
    <row r="55" spans="2:8" x14ac:dyDescent="0.25">
      <c r="B55" s="2"/>
      <c r="C55" s="2"/>
      <c r="D55" s="2"/>
      <c r="F55" s="2"/>
      <c r="G55" s="2"/>
      <c r="H55" s="2"/>
    </row>
    <row r="56" spans="2:8" x14ac:dyDescent="0.25">
      <c r="B56" s="2"/>
      <c r="C56" s="2"/>
      <c r="D56" s="2"/>
      <c r="F56" s="2"/>
      <c r="G56" s="2"/>
      <c r="H56" s="2"/>
    </row>
    <row r="57" spans="2:8" x14ac:dyDescent="0.25">
      <c r="B57" s="2"/>
      <c r="C57" s="2"/>
      <c r="D57" s="2"/>
      <c r="F57" s="2"/>
      <c r="G57" s="2"/>
      <c r="H57" s="2"/>
    </row>
    <row r="58" spans="2:8" x14ac:dyDescent="0.25">
      <c r="B58" s="2"/>
      <c r="C58" s="2"/>
      <c r="D58" s="2"/>
      <c r="F58" s="2"/>
      <c r="G58" s="2"/>
      <c r="H58" s="2"/>
    </row>
    <row r="59" spans="2:8" x14ac:dyDescent="0.25">
      <c r="B59" s="2"/>
      <c r="C59" s="2"/>
      <c r="D59" s="2"/>
      <c r="F59" s="2"/>
      <c r="G59" s="2"/>
      <c r="H59" s="2"/>
    </row>
    <row r="60" spans="2:8" x14ac:dyDescent="0.25">
      <c r="B60" s="2"/>
      <c r="C60" s="2"/>
      <c r="D60" s="2"/>
      <c r="F60" s="2"/>
      <c r="G60" s="2"/>
      <c r="H60" s="2"/>
    </row>
    <row r="61" spans="2:8" x14ac:dyDescent="0.25">
      <c r="B61" s="2"/>
      <c r="C61" s="2"/>
      <c r="D61" s="2"/>
      <c r="F61" s="2"/>
      <c r="G61" s="2"/>
      <c r="H61" s="2"/>
    </row>
    <row r="62" spans="2:8" x14ac:dyDescent="0.25">
      <c r="B62" s="2"/>
      <c r="C62" s="2"/>
      <c r="D62" s="2"/>
      <c r="F62" s="2"/>
      <c r="G62" s="2"/>
      <c r="H62" s="2"/>
    </row>
    <row r="63" spans="2:8" x14ac:dyDescent="0.25">
      <c r="B63" s="2"/>
      <c r="C63" s="2"/>
      <c r="D63" s="2"/>
      <c r="F63" s="2"/>
      <c r="G63" s="2"/>
      <c r="H63" s="2"/>
    </row>
    <row r="64" spans="2:8" x14ac:dyDescent="0.25">
      <c r="B64" s="2"/>
      <c r="C64" s="2"/>
      <c r="D64" s="2"/>
      <c r="F64" s="2"/>
      <c r="G64" s="2"/>
      <c r="H64" s="2"/>
    </row>
    <row r="65" spans="2:8" x14ac:dyDescent="0.25">
      <c r="B65" s="2"/>
      <c r="C65" s="2"/>
      <c r="D65" s="2"/>
      <c r="F65" s="2"/>
      <c r="G65" s="2"/>
      <c r="H65" s="2"/>
    </row>
    <row r="66" spans="2:8" x14ac:dyDescent="0.25">
      <c r="B66" s="2"/>
      <c r="C66" s="2"/>
      <c r="D66" s="2"/>
      <c r="F66" s="2"/>
      <c r="G66" s="2"/>
      <c r="H66" s="2"/>
    </row>
    <row r="67" spans="2:8" x14ac:dyDescent="0.25">
      <c r="B67" s="2"/>
      <c r="C67" s="2"/>
      <c r="D67" s="2"/>
      <c r="F67" s="2"/>
      <c r="G67" s="2"/>
      <c r="H67" s="2"/>
    </row>
    <row r="68" spans="2:8" x14ac:dyDescent="0.25">
      <c r="B68" s="2"/>
      <c r="C68" s="2"/>
      <c r="D68" s="2"/>
      <c r="F68" s="2"/>
      <c r="G68" s="2"/>
      <c r="H68" s="2"/>
    </row>
    <row r="69" spans="2:8" x14ac:dyDescent="0.25">
      <c r="B69" s="2"/>
      <c r="C69" s="2"/>
      <c r="D69" s="2"/>
      <c r="F69" s="2"/>
      <c r="G69" s="2"/>
      <c r="H69" s="2"/>
    </row>
    <row r="70" spans="2:8" x14ac:dyDescent="0.25">
      <c r="B70" s="2"/>
      <c r="C70" s="2"/>
      <c r="D70" s="2"/>
      <c r="F70" s="2"/>
      <c r="G70" s="2"/>
      <c r="H70" s="2"/>
    </row>
    <row r="71" spans="2:8" x14ac:dyDescent="0.25">
      <c r="B71" s="2"/>
      <c r="C71" s="2"/>
      <c r="D71" s="2"/>
      <c r="F71" s="2"/>
      <c r="G71" s="2"/>
      <c r="H71" s="2"/>
    </row>
    <row r="72" spans="2:8" x14ac:dyDescent="0.25">
      <c r="B72" s="2"/>
      <c r="C72" s="2"/>
      <c r="D72" s="2"/>
      <c r="F72" s="2"/>
      <c r="G72" s="2"/>
      <c r="H72" s="2"/>
    </row>
    <row r="73" spans="2:8" x14ac:dyDescent="0.25">
      <c r="B73" s="2"/>
      <c r="C73" s="2"/>
      <c r="D73" s="2"/>
      <c r="F73" s="2"/>
      <c r="G73" s="2"/>
      <c r="H73" s="2"/>
    </row>
    <row r="74" spans="2:8" x14ac:dyDescent="0.25">
      <c r="B74" s="2"/>
      <c r="C74" s="2"/>
      <c r="D74" s="2"/>
      <c r="F74" s="2"/>
      <c r="G74" s="2"/>
      <c r="H74" s="2"/>
    </row>
    <row r="75" spans="2:8" x14ac:dyDescent="0.25">
      <c r="B75" s="2"/>
      <c r="C75" s="2"/>
      <c r="D75" s="2"/>
      <c r="F75" s="2"/>
      <c r="G75" s="2"/>
      <c r="H75" s="2"/>
    </row>
    <row r="76" spans="2:8" x14ac:dyDescent="0.25">
      <c r="B76" s="2"/>
      <c r="C76" s="2"/>
      <c r="D76" s="2"/>
      <c r="F76" s="2"/>
      <c r="G76" s="2"/>
      <c r="H76" s="2"/>
    </row>
    <row r="77" spans="2:8" x14ac:dyDescent="0.25">
      <c r="B77" s="2"/>
      <c r="C77" s="2"/>
      <c r="D77" s="2"/>
      <c r="F77" s="2"/>
      <c r="G77" s="2"/>
      <c r="H77" s="2"/>
    </row>
    <row r="78" spans="2:8" x14ac:dyDescent="0.25">
      <c r="B78" s="2"/>
      <c r="C78" s="2"/>
      <c r="D78" s="2"/>
      <c r="F78" s="2"/>
      <c r="G78" s="2"/>
      <c r="H78" s="2"/>
    </row>
    <row r="79" spans="2:8" x14ac:dyDescent="0.25">
      <c r="B79" s="2"/>
      <c r="C79" s="2"/>
      <c r="D79" s="2"/>
      <c r="F79" s="2"/>
      <c r="G79" s="2"/>
      <c r="H79" s="2"/>
    </row>
    <row r="80" spans="2:8" x14ac:dyDescent="0.25">
      <c r="B80" s="2"/>
      <c r="C80" s="2"/>
      <c r="D80" s="2"/>
      <c r="F80" s="2"/>
      <c r="G80" s="2"/>
      <c r="H80" s="2"/>
    </row>
    <row r="81" spans="2:8" x14ac:dyDescent="0.25">
      <c r="B81" s="2"/>
      <c r="C81" s="2"/>
      <c r="D81" s="2"/>
      <c r="F81" s="2"/>
      <c r="G81" s="2"/>
      <c r="H81" s="2"/>
    </row>
    <row r="82" spans="2:8" x14ac:dyDescent="0.25">
      <c r="B82" s="2"/>
      <c r="C82" s="2"/>
      <c r="D82" s="2"/>
      <c r="F82" s="2"/>
      <c r="G82" s="2"/>
      <c r="H82" s="2"/>
    </row>
    <row r="83" spans="2:8" x14ac:dyDescent="0.25">
      <c r="B83" s="2"/>
      <c r="C83" s="2"/>
      <c r="D83" s="2"/>
      <c r="F83" s="2"/>
      <c r="G83" s="2"/>
      <c r="H83" s="2"/>
    </row>
    <row r="84" spans="2:8" x14ac:dyDescent="0.25">
      <c r="B84" s="2"/>
      <c r="C84" s="2"/>
      <c r="D84" s="2"/>
      <c r="F84" s="2"/>
      <c r="G84" s="2"/>
      <c r="H84" s="2"/>
    </row>
    <row r="85" spans="2:8" x14ac:dyDescent="0.25">
      <c r="B85" s="2"/>
      <c r="C85" s="2"/>
      <c r="D85" s="2"/>
      <c r="F85" s="2"/>
      <c r="G85" s="2"/>
      <c r="H85" s="2"/>
    </row>
    <row r="86" spans="2:8" x14ac:dyDescent="0.25">
      <c r="B86" s="2"/>
      <c r="C86" s="2"/>
      <c r="D86" s="2"/>
      <c r="F86" s="2"/>
      <c r="G86" s="2"/>
      <c r="H86" s="2"/>
    </row>
    <row r="87" spans="2:8" x14ac:dyDescent="0.25">
      <c r="B87" s="2"/>
      <c r="C87" s="2"/>
      <c r="D87" s="2"/>
      <c r="F87" s="2"/>
      <c r="G87" s="2"/>
      <c r="H87" s="2"/>
    </row>
    <row r="88" spans="2:8" x14ac:dyDescent="0.25">
      <c r="B88" s="2"/>
      <c r="C88" s="2"/>
      <c r="D88" s="2"/>
      <c r="F88" s="2"/>
      <c r="G88" s="2"/>
      <c r="H88" s="2"/>
    </row>
    <row r="89" spans="2:8" x14ac:dyDescent="0.25">
      <c r="B89" s="2"/>
      <c r="C89" s="2"/>
      <c r="D89" s="2"/>
      <c r="F89" s="2"/>
      <c r="G89" s="2"/>
      <c r="H89" s="2"/>
    </row>
    <row r="90" spans="2:8" x14ac:dyDescent="0.25">
      <c r="B90" s="2"/>
      <c r="C90" s="2"/>
      <c r="D90" s="2"/>
      <c r="F90" s="2"/>
      <c r="G90" s="2"/>
      <c r="H90" s="2"/>
    </row>
    <row r="91" spans="2:8" x14ac:dyDescent="0.25">
      <c r="B91" s="2"/>
      <c r="C91" s="2"/>
      <c r="D91" s="2"/>
      <c r="F91" s="2"/>
      <c r="G91" s="2"/>
      <c r="H91" s="2"/>
    </row>
    <row r="92" spans="2:8" x14ac:dyDescent="0.25">
      <c r="B92" s="2"/>
      <c r="C92" s="2"/>
      <c r="D92" s="2"/>
      <c r="F92" s="2"/>
      <c r="G92" s="2"/>
      <c r="H92" s="2"/>
    </row>
    <row r="93" spans="2:8" x14ac:dyDescent="0.25">
      <c r="B93" s="2"/>
      <c r="C93" s="2"/>
      <c r="D93" s="2"/>
      <c r="F93" s="2"/>
      <c r="G93" s="2"/>
      <c r="H93" s="2"/>
    </row>
    <row r="94" spans="2:8" x14ac:dyDescent="0.25">
      <c r="B94" s="2"/>
      <c r="C94" s="2"/>
      <c r="D94" s="2"/>
      <c r="F94" s="2"/>
      <c r="G94" s="2"/>
      <c r="H94" s="2"/>
    </row>
    <row r="95" spans="2:8" x14ac:dyDescent="0.25">
      <c r="B95" s="2"/>
      <c r="C95" s="2"/>
      <c r="D95" s="2"/>
      <c r="F95" s="2"/>
      <c r="G95" s="2"/>
      <c r="H95" s="2"/>
    </row>
    <row r="96" spans="2:8" x14ac:dyDescent="0.25">
      <c r="B96" s="2"/>
      <c r="C96" s="2"/>
      <c r="D96" s="2"/>
      <c r="F96" s="2"/>
      <c r="G96" s="2"/>
      <c r="H96" s="2"/>
    </row>
    <row r="97" spans="2:8" x14ac:dyDescent="0.25">
      <c r="B97" s="2"/>
      <c r="C97" s="2"/>
      <c r="D97" s="2"/>
      <c r="F97" s="2"/>
      <c r="G97" s="2"/>
      <c r="H97" s="2"/>
    </row>
    <row r="98" spans="2:8" x14ac:dyDescent="0.25">
      <c r="B98" s="2"/>
      <c r="C98" s="2"/>
      <c r="D98" s="2"/>
      <c r="F98" s="2"/>
      <c r="G98" s="2"/>
      <c r="H98" s="2"/>
    </row>
    <row r="99" spans="2:8" x14ac:dyDescent="0.25">
      <c r="B99" s="2"/>
      <c r="C99" s="2"/>
      <c r="D99" s="2"/>
      <c r="F99" s="2"/>
      <c r="G99" s="2"/>
      <c r="H99" s="2"/>
    </row>
    <row r="100" spans="2:8" x14ac:dyDescent="0.25">
      <c r="B100" s="2"/>
      <c r="C100" s="2"/>
      <c r="D100" s="2"/>
      <c r="F100" s="2"/>
      <c r="G100" s="2"/>
      <c r="H100" s="2"/>
    </row>
    <row r="101" spans="2:8" x14ac:dyDescent="0.25">
      <c r="B101" s="2"/>
      <c r="C101" s="2"/>
      <c r="D101" s="2"/>
      <c r="F101" s="2"/>
      <c r="G101" s="2"/>
      <c r="H101" s="2"/>
    </row>
    <row r="102" spans="2:8" x14ac:dyDescent="0.25">
      <c r="B102" s="2"/>
      <c r="C102" s="2"/>
      <c r="D102" s="2"/>
      <c r="F102" s="2"/>
      <c r="G102" s="2"/>
      <c r="H102" s="2"/>
    </row>
    <row r="103" spans="2:8" x14ac:dyDescent="0.25">
      <c r="B103" s="2"/>
      <c r="C103" s="2"/>
      <c r="D103" s="2"/>
      <c r="F103" s="2"/>
      <c r="G103" s="2"/>
      <c r="H103" s="2"/>
    </row>
    <row r="104" spans="2:8" x14ac:dyDescent="0.25">
      <c r="B104" s="2"/>
      <c r="C104" s="2"/>
      <c r="D104" s="2"/>
      <c r="F104" s="2"/>
      <c r="G104" s="2"/>
      <c r="H104" s="2"/>
    </row>
    <row r="105" spans="2:8" x14ac:dyDescent="0.25">
      <c r="B105" s="2"/>
      <c r="C105" s="2"/>
      <c r="D105" s="2"/>
      <c r="F105" s="2"/>
      <c r="G105" s="2"/>
      <c r="H105" s="2"/>
    </row>
    <row r="106" spans="2:8" x14ac:dyDescent="0.25">
      <c r="B106" s="2"/>
      <c r="C106" s="2"/>
      <c r="D106" s="2"/>
      <c r="F106" s="2"/>
      <c r="G106" s="2"/>
      <c r="H106" s="2"/>
    </row>
    <row r="107" spans="2:8" x14ac:dyDescent="0.25">
      <c r="B107" s="2"/>
      <c r="C107" s="2"/>
      <c r="D107" s="2"/>
      <c r="F107" s="2"/>
      <c r="G107" s="2"/>
      <c r="H107" s="2"/>
    </row>
    <row r="108" spans="2:8" x14ac:dyDescent="0.25">
      <c r="B108" s="2"/>
      <c r="C108" s="2"/>
      <c r="D108" s="2"/>
      <c r="F108" s="2"/>
      <c r="G108" s="2"/>
      <c r="H108" s="2"/>
    </row>
    <row r="109" spans="2:8" x14ac:dyDescent="0.25">
      <c r="B109" s="2"/>
      <c r="C109" s="2"/>
      <c r="D109" s="2"/>
      <c r="F109" s="2"/>
      <c r="G109" s="2"/>
      <c r="H109" s="2"/>
    </row>
    <row r="110" spans="2:8" x14ac:dyDescent="0.25">
      <c r="B110" s="2"/>
      <c r="C110" s="2"/>
      <c r="D110" s="2"/>
      <c r="F110" s="2"/>
      <c r="G110" s="2"/>
      <c r="H110" s="2"/>
    </row>
    <row r="111" spans="2:8" x14ac:dyDescent="0.25">
      <c r="B111" s="2"/>
      <c r="C111" s="2"/>
      <c r="D111" s="2"/>
      <c r="F111" s="2"/>
      <c r="G111" s="2"/>
      <c r="H111" s="2"/>
    </row>
    <row r="112" spans="2:8" x14ac:dyDescent="0.25">
      <c r="B112" s="2"/>
      <c r="C112" s="2"/>
      <c r="D112" s="2"/>
      <c r="F112" s="2"/>
      <c r="G112" s="2"/>
      <c r="H112" s="2"/>
    </row>
    <row r="113" spans="2:8" x14ac:dyDescent="0.25">
      <c r="B113" s="2"/>
      <c r="C113" s="2"/>
      <c r="D113" s="2"/>
      <c r="F113" s="2"/>
      <c r="G113" s="2"/>
      <c r="H113" s="2"/>
    </row>
    <row r="114" spans="2:8" x14ac:dyDescent="0.25">
      <c r="B114" s="2"/>
      <c r="C114" s="2"/>
      <c r="D114" s="2"/>
      <c r="F114" s="2"/>
      <c r="G114" s="2"/>
      <c r="H114" s="2"/>
    </row>
    <row r="115" spans="2:8" x14ac:dyDescent="0.25">
      <c r="B115" s="2"/>
      <c r="C115" s="2"/>
      <c r="D115" s="2"/>
      <c r="F115" s="2"/>
      <c r="G115" s="2"/>
      <c r="H115" s="2"/>
    </row>
    <row r="116" spans="2:8" x14ac:dyDescent="0.25">
      <c r="B116" s="2"/>
      <c r="C116" s="2"/>
      <c r="D116" s="2"/>
      <c r="F116" s="2"/>
      <c r="G116" s="2"/>
      <c r="H116" s="2"/>
    </row>
    <row r="117" spans="2:8" x14ac:dyDescent="0.25">
      <c r="B117" s="2"/>
      <c r="C117" s="2"/>
      <c r="D117" s="2"/>
      <c r="F117" s="2"/>
      <c r="G117" s="2"/>
      <c r="H117" s="2"/>
    </row>
    <row r="118" spans="2:8" x14ac:dyDescent="0.25">
      <c r="B118" s="2"/>
      <c r="C118" s="2"/>
      <c r="D118" s="2"/>
      <c r="F118" s="2"/>
      <c r="G118" s="2"/>
      <c r="H118" s="2"/>
    </row>
    <row r="119" spans="2:8" x14ac:dyDescent="0.25">
      <c r="B119" s="2"/>
      <c r="C119" s="2"/>
      <c r="D119" s="2"/>
      <c r="F119" s="2"/>
      <c r="G119" s="2"/>
      <c r="H119" s="2"/>
    </row>
    <row r="120" spans="2:8" x14ac:dyDescent="0.25">
      <c r="B120" s="2"/>
      <c r="C120" s="2"/>
      <c r="D120" s="2"/>
      <c r="F120" s="2"/>
      <c r="G120" s="2"/>
      <c r="H120" s="2"/>
    </row>
    <row r="121" spans="2:8" x14ac:dyDescent="0.25">
      <c r="B121" s="2"/>
      <c r="C121" s="2"/>
      <c r="D121" s="2"/>
      <c r="F121" s="2"/>
      <c r="G121" s="2"/>
      <c r="H121" s="2"/>
    </row>
    <row r="122" spans="2:8" x14ac:dyDescent="0.25">
      <c r="B122" s="2"/>
      <c r="C122" s="2"/>
      <c r="D122" s="2"/>
      <c r="F122" s="2"/>
      <c r="G122" s="2"/>
      <c r="H122" s="2"/>
    </row>
    <row r="123" spans="2:8" x14ac:dyDescent="0.25">
      <c r="B123" s="2"/>
      <c r="C123" s="2"/>
      <c r="D123" s="2"/>
      <c r="F123" s="2"/>
      <c r="G123" s="2"/>
      <c r="H123" s="2"/>
    </row>
    <row r="124" spans="2:8" x14ac:dyDescent="0.25">
      <c r="B124" s="2"/>
      <c r="C124" s="2"/>
      <c r="D124" s="2"/>
      <c r="F124" s="2"/>
      <c r="G124" s="2"/>
      <c r="H124" s="2"/>
    </row>
    <row r="125" spans="2:8" x14ac:dyDescent="0.25">
      <c r="B125" s="2"/>
      <c r="C125" s="2"/>
      <c r="D125" s="2"/>
      <c r="F125" s="2"/>
      <c r="G125" s="2"/>
      <c r="H125" s="2"/>
    </row>
    <row r="126" spans="2:8" x14ac:dyDescent="0.25">
      <c r="B126" s="2"/>
      <c r="C126" s="2"/>
      <c r="D126" s="2"/>
      <c r="F126" s="2"/>
      <c r="G126" s="2"/>
      <c r="H126" s="2"/>
    </row>
    <row r="127" spans="2:8" x14ac:dyDescent="0.25">
      <c r="B127" s="2"/>
      <c r="C127" s="2"/>
      <c r="D127" s="2"/>
      <c r="F127" s="2"/>
      <c r="G127" s="2"/>
      <c r="H127" s="2"/>
    </row>
    <row r="128" spans="2:8" x14ac:dyDescent="0.25">
      <c r="B128" s="2"/>
      <c r="C128" s="2"/>
      <c r="D128" s="2"/>
      <c r="F128" s="2"/>
      <c r="G128" s="2"/>
      <c r="H128" s="2"/>
    </row>
    <row r="129" spans="2:8" x14ac:dyDescent="0.25">
      <c r="B129" s="2"/>
      <c r="C129" s="2"/>
      <c r="D129" s="2"/>
      <c r="F129" s="2"/>
      <c r="G129" s="2"/>
      <c r="H129" s="2"/>
    </row>
    <row r="130" spans="2:8" x14ac:dyDescent="0.25">
      <c r="B130" s="2"/>
      <c r="C130" s="2"/>
      <c r="D130" s="2"/>
      <c r="F130" s="2"/>
      <c r="G130" s="2"/>
      <c r="H130" s="2"/>
    </row>
    <row r="131" spans="2:8" x14ac:dyDescent="0.25">
      <c r="B131" s="2"/>
      <c r="C131" s="2"/>
      <c r="D131" s="2"/>
      <c r="F131" s="2"/>
      <c r="G131" s="2"/>
      <c r="H131" s="2"/>
    </row>
    <row r="132" spans="2:8" x14ac:dyDescent="0.25">
      <c r="B132" s="2"/>
      <c r="C132" s="2"/>
      <c r="D132" s="2"/>
      <c r="F132" s="2"/>
      <c r="G132" s="2"/>
      <c r="H132" s="2"/>
    </row>
    <row r="133" spans="2:8" x14ac:dyDescent="0.25">
      <c r="B133" s="2"/>
      <c r="C133" s="2"/>
      <c r="D133" s="2"/>
      <c r="F133" s="2"/>
      <c r="G133" s="2"/>
      <c r="H133" s="2"/>
    </row>
    <row r="134" spans="2:8" x14ac:dyDescent="0.25">
      <c r="B134" s="2"/>
      <c r="C134" s="2"/>
      <c r="D134" s="2"/>
      <c r="F134" s="2"/>
      <c r="G134" s="2"/>
      <c r="H134" s="2"/>
    </row>
    <row r="135" spans="2:8" x14ac:dyDescent="0.25">
      <c r="B135" s="2"/>
      <c r="C135" s="2"/>
      <c r="D135" s="2"/>
      <c r="F135" s="2"/>
      <c r="G135" s="2"/>
      <c r="H135" s="2"/>
    </row>
    <row r="136" spans="2:8" x14ac:dyDescent="0.25">
      <c r="B136" s="2"/>
      <c r="C136" s="2"/>
      <c r="D136" s="2"/>
      <c r="F136" s="2"/>
      <c r="G136" s="2"/>
      <c r="H136" s="2"/>
    </row>
    <row r="137" spans="2:8" x14ac:dyDescent="0.25">
      <c r="B137" s="2"/>
      <c r="C137" s="2"/>
      <c r="D137" s="2"/>
      <c r="F137" s="2"/>
      <c r="G137" s="2"/>
      <c r="H137" s="2"/>
    </row>
    <row r="138" spans="2:8" x14ac:dyDescent="0.25">
      <c r="B138" s="2"/>
      <c r="C138" s="2"/>
      <c r="D138" s="2"/>
      <c r="F138" s="2"/>
      <c r="G138" s="2"/>
      <c r="H138" s="2"/>
    </row>
    <row r="139" spans="2:8" x14ac:dyDescent="0.25">
      <c r="B139" s="2"/>
      <c r="C139" s="2"/>
      <c r="D139" s="2"/>
      <c r="F139" s="2"/>
      <c r="G139" s="2"/>
      <c r="H139" s="2"/>
    </row>
    <row r="140" spans="2:8" x14ac:dyDescent="0.25">
      <c r="B140" s="2"/>
      <c r="C140" s="2"/>
      <c r="D140" s="2"/>
      <c r="F140" s="2"/>
      <c r="G140" s="2"/>
      <c r="H140" s="2"/>
    </row>
    <row r="141" spans="2:8" x14ac:dyDescent="0.25">
      <c r="B141" s="2"/>
      <c r="C141" s="2"/>
      <c r="D141" s="2"/>
      <c r="F141" s="2"/>
      <c r="G141" s="2"/>
      <c r="H141" s="2"/>
    </row>
    <row r="142" spans="2:8" x14ac:dyDescent="0.25">
      <c r="B142" s="2"/>
      <c r="C142" s="2"/>
      <c r="D142" s="2"/>
      <c r="F142" s="2"/>
      <c r="G142" s="2"/>
      <c r="H142" s="2"/>
    </row>
    <row r="143" spans="2:8" x14ac:dyDescent="0.25">
      <c r="B143" s="2"/>
      <c r="C143" s="2"/>
      <c r="D143" s="2"/>
      <c r="F143" s="2"/>
      <c r="G143" s="2"/>
      <c r="H143" s="2"/>
    </row>
    <row r="144" spans="2:8" x14ac:dyDescent="0.25">
      <c r="B144" s="2"/>
      <c r="C144" s="2"/>
      <c r="D144" s="2"/>
      <c r="F144" s="2"/>
      <c r="G144" s="2"/>
      <c r="H144" s="2"/>
    </row>
    <row r="145" spans="2:8" x14ac:dyDescent="0.25">
      <c r="B145" s="2"/>
      <c r="C145" s="2"/>
      <c r="D145" s="2"/>
      <c r="F145" s="2"/>
      <c r="G145" s="2"/>
      <c r="H145" s="2"/>
    </row>
    <row r="146" spans="2:8" x14ac:dyDescent="0.25">
      <c r="B146" s="2"/>
      <c r="C146" s="2"/>
      <c r="D146" s="2"/>
      <c r="F146" s="2"/>
      <c r="G146" s="2"/>
      <c r="H146" s="2"/>
    </row>
    <row r="147" spans="2:8" x14ac:dyDescent="0.25">
      <c r="B147" s="2"/>
      <c r="C147" s="2"/>
      <c r="D147" s="2"/>
      <c r="F147" s="2"/>
      <c r="G147" s="2"/>
      <c r="H147" s="2"/>
    </row>
    <row r="148" spans="2:8" x14ac:dyDescent="0.25">
      <c r="B148" s="2"/>
      <c r="C148" s="2"/>
      <c r="D148" s="2"/>
      <c r="F148" s="2"/>
      <c r="G148" s="2"/>
      <c r="H148" s="2"/>
    </row>
    <row r="149" spans="2:8" x14ac:dyDescent="0.25">
      <c r="B149" s="2"/>
      <c r="C149" s="2"/>
      <c r="D149" s="2"/>
      <c r="F149" s="2"/>
      <c r="G149" s="2"/>
      <c r="H149" s="2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6F6BAC-AD5C-4AD8-8740-C327FAC7AA53}">
          <x14:formula1>
            <xm:f>Matriz!$B$2:$B$48</xm:f>
          </x14:formula1>
          <xm:sqref>E2:E3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</vt:lpstr>
      <vt:lpstr>Distancias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de Abreu Correa</dc:creator>
  <cp:lastModifiedBy>Bruno de Abreu Correa</cp:lastModifiedBy>
  <dcterms:created xsi:type="dcterms:W3CDTF">2025-05-22T13:06:57Z</dcterms:created>
  <dcterms:modified xsi:type="dcterms:W3CDTF">2026-03-11T00:05:41Z</dcterms:modified>
</cp:coreProperties>
</file>